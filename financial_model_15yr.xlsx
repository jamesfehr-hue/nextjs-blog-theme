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ome Statement" sheetId="2" state="visible" r:id="rId2"/>
    <sheet name="Balance Sheet" sheetId="3" state="visible" r:id="rId3"/>
    <sheet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1F3864"/>
      <sz val="10"/>
    </font>
    <font>
      <sz val="10"/>
    </font>
    <font>
      <b val="1"/>
      <color rgb="001F3864"/>
    </font>
    <font>
      <b val="1"/>
      <color rgb="00FFFFFF"/>
    </font>
    <font>
      <b val="1"/>
      <color rgb="00117A65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2F9FF"/>
      </patternFill>
    </fill>
    <fill>
      <patternFill patternType="solid">
        <fgColor rgb="00AED6F1"/>
      </patternFill>
    </fill>
    <fill>
      <patternFill patternType="solid">
        <fgColor rgb="002E86C1"/>
      </patternFill>
    </fill>
  </fills>
  <borders count="3">
    <border>
      <left/>
      <right/>
      <top/>
      <bottom/>
      <diagonal/>
    </border>
    <border>
      <left/>
      <right/>
      <top/>
      <bottom style="thin">
        <color rgb="002E86C1"/>
      </bottom>
    </border>
    <border>
      <left/>
      <right/>
      <top style="thin">
        <color rgb="002E86C1"/>
      </top>
      <bottom style="thin">
        <color rgb="002E86C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4" fillId="0" borderId="0" pivotButton="0" quotePrefix="0" xfId="0"/>
    <xf numFmtId="3" fontId="4" fillId="0" borderId="0" pivotButton="0" quotePrefix="0" xfId="0"/>
    <xf numFmtId="0" fontId="4" fillId="5" borderId="0" pivotButton="0" quotePrefix="0" xfId="0"/>
    <xf numFmtId="3" fontId="4" fillId="5" borderId="0" pivotButton="0" quotePrefix="0" xfId="0"/>
    <xf numFmtId="164" fontId="4" fillId="5" borderId="0" pivotButton="0" quotePrefix="0" xfId="0"/>
    <xf numFmtId="164" fontId="4" fillId="0" borderId="0" pivotButton="0" quotePrefix="0" xfId="0"/>
    <xf numFmtId="0" fontId="3" fillId="3" borderId="2" pivotButton="0" quotePrefix="0" xfId="0"/>
    <xf numFmtId="0" fontId="0" fillId="3" borderId="2" pivotButton="0" quotePrefix="0" xfId="0"/>
    <xf numFmtId="3" fontId="4" fillId="4" borderId="0" pivotButton="0" quotePrefix="0" xfId="0"/>
    <xf numFmtId="0" fontId="5" fillId="6" borderId="0" pivotButton="0" quotePrefix="0" xfId="0"/>
    <xf numFmtId="3" fontId="5" fillId="6" borderId="2" pivotButton="0" quotePrefix="0" xfId="0"/>
    <xf numFmtId="0" fontId="6" fillId="7" borderId="0" pivotButton="0" quotePrefix="0" xfId="0"/>
    <xf numFmtId="3" fontId="6" fillId="7" borderId="2" pivotButton="0" quotePrefix="0" xfId="0"/>
    <xf numFmtId="164" fontId="0" fillId="0" borderId="0" pivotButton="0" quotePrefix="0" xfId="0"/>
    <xf numFmtId="164" fontId="0" fillId="5" borderId="0" pivotButton="0" quotePrefix="0" xfId="0"/>
    <xf numFmtId="3" fontId="0" fillId="0" borderId="0" pivotButton="0" quotePrefix="0" xfId="0"/>
    <xf numFmtId="3" fontId="0" fillId="5" borderId="0" pivotButton="0" quotePrefix="0" xfId="0"/>
    <xf numFmtId="3" fontId="0" fillId="4" borderId="0" pivotButton="0" quotePrefix="0" xfId="0"/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3483"/>
    <outlinePr summaryBelow="1" summaryRight="1"/>
    <pageSetUpPr/>
  </sheetPr>
  <dimension ref="A1:P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0" customHeight="1">
      <c r="A1" s="1" t="inlineStr">
        <is>
          <t>15-YEAR INTEGRATED FINANCIAL MODEL</t>
        </is>
      </c>
    </row>
    <row r="2" ht="30" customHeight="1">
      <c r="A2" s="2" t="inlineStr">
        <is>
          <t>USD (thousands)</t>
        </is>
      </c>
      <c r="B2" s="3" t="n">
        <v>2024</v>
      </c>
      <c r="C2" s="3" t="n">
        <v>2025</v>
      </c>
      <c r="D2" s="3" t="n">
        <v>2026</v>
      </c>
      <c r="E2" s="3" t="n">
        <v>2027</v>
      </c>
      <c r="F2" s="3" t="n">
        <v>2028</v>
      </c>
      <c r="G2" s="3" t="n">
        <v>2029</v>
      </c>
      <c r="H2" s="3" t="n">
        <v>2030</v>
      </c>
      <c r="I2" s="3" t="n">
        <v>2031</v>
      </c>
      <c r="J2" s="3" t="n">
        <v>2032</v>
      </c>
      <c r="K2" s="3" t="n">
        <v>2033</v>
      </c>
      <c r="L2" s="3" t="n">
        <v>2034</v>
      </c>
      <c r="M2" s="3" t="n">
        <v>2035</v>
      </c>
      <c r="N2" s="3" t="n">
        <v>2036</v>
      </c>
      <c r="O2" s="3" t="n">
        <v>2037</v>
      </c>
      <c r="P2" s="3" t="n">
        <v>2038</v>
      </c>
    </row>
    <row r="3">
      <c r="A3" s="4" t="inlineStr">
        <is>
          <t>Revenue</t>
        </is>
      </c>
      <c r="B3" s="5">
        <f>'Income Statement'!B4</f>
        <v/>
      </c>
      <c r="C3" s="5">
        <f>'Income Statement'!C4</f>
        <v/>
      </c>
      <c r="D3" s="5">
        <f>'Income Statement'!D4</f>
        <v/>
      </c>
      <c r="E3" s="5">
        <f>'Income Statement'!E4</f>
        <v/>
      </c>
      <c r="F3" s="5">
        <f>'Income Statement'!F4</f>
        <v/>
      </c>
      <c r="G3" s="5">
        <f>'Income Statement'!G4</f>
        <v/>
      </c>
      <c r="H3" s="5">
        <f>'Income Statement'!H4</f>
        <v/>
      </c>
      <c r="I3" s="5">
        <f>'Income Statement'!I4</f>
        <v/>
      </c>
      <c r="J3" s="5">
        <f>'Income Statement'!J4</f>
        <v/>
      </c>
      <c r="K3" s="5">
        <f>'Income Statement'!K4</f>
        <v/>
      </c>
      <c r="L3" s="5">
        <f>'Income Statement'!L4</f>
        <v/>
      </c>
      <c r="M3" s="5">
        <f>'Income Statement'!M4</f>
        <v/>
      </c>
      <c r="N3" s="5">
        <f>'Income Statement'!N4</f>
        <v/>
      </c>
      <c r="O3" s="5">
        <f>'Income Statement'!O4</f>
        <v/>
      </c>
      <c r="P3" s="5">
        <f>'Income Statement'!P4</f>
        <v/>
      </c>
    </row>
    <row r="4">
      <c r="A4" s="6" t="inlineStr">
        <is>
          <t>Gross Profit</t>
        </is>
      </c>
      <c r="B4" s="7">
        <f>'Income Statement'!B7</f>
        <v/>
      </c>
      <c r="C4" s="7">
        <f>'Income Statement'!C7</f>
        <v/>
      </c>
      <c r="D4" s="7">
        <f>'Income Statement'!D7</f>
        <v/>
      </c>
      <c r="E4" s="7">
        <f>'Income Statement'!E7</f>
        <v/>
      </c>
      <c r="F4" s="7">
        <f>'Income Statement'!F7</f>
        <v/>
      </c>
      <c r="G4" s="7">
        <f>'Income Statement'!G7</f>
        <v/>
      </c>
      <c r="H4" s="7">
        <f>'Income Statement'!H7</f>
        <v/>
      </c>
      <c r="I4" s="7">
        <f>'Income Statement'!I7</f>
        <v/>
      </c>
      <c r="J4" s="7">
        <f>'Income Statement'!J7</f>
        <v/>
      </c>
      <c r="K4" s="7">
        <f>'Income Statement'!K7</f>
        <v/>
      </c>
      <c r="L4" s="7">
        <f>'Income Statement'!L7</f>
        <v/>
      </c>
      <c r="M4" s="7">
        <f>'Income Statement'!M7</f>
        <v/>
      </c>
      <c r="N4" s="7">
        <f>'Income Statement'!N7</f>
        <v/>
      </c>
      <c r="O4" s="7">
        <f>'Income Statement'!O7</f>
        <v/>
      </c>
      <c r="P4" s="7">
        <f>'Income Statement'!P7</f>
        <v/>
      </c>
    </row>
    <row r="5">
      <c r="A5" s="4" t="inlineStr">
        <is>
          <t>EBIT</t>
        </is>
      </c>
      <c r="B5" s="5">
        <f>'Income Statement'!B13</f>
        <v/>
      </c>
      <c r="C5" s="5">
        <f>'Income Statement'!C13</f>
        <v/>
      </c>
      <c r="D5" s="5">
        <f>'Income Statement'!D13</f>
        <v/>
      </c>
      <c r="E5" s="5">
        <f>'Income Statement'!E13</f>
        <v/>
      </c>
      <c r="F5" s="5">
        <f>'Income Statement'!F13</f>
        <v/>
      </c>
      <c r="G5" s="5">
        <f>'Income Statement'!G13</f>
        <v/>
      </c>
      <c r="H5" s="5">
        <f>'Income Statement'!H13</f>
        <v/>
      </c>
      <c r="I5" s="5">
        <f>'Income Statement'!I13</f>
        <v/>
      </c>
      <c r="J5" s="5">
        <f>'Income Statement'!J13</f>
        <v/>
      </c>
      <c r="K5" s="5">
        <f>'Income Statement'!K13</f>
        <v/>
      </c>
      <c r="L5" s="5">
        <f>'Income Statement'!L13</f>
        <v/>
      </c>
      <c r="M5" s="5">
        <f>'Income Statement'!M13</f>
        <v/>
      </c>
      <c r="N5" s="5">
        <f>'Income Statement'!N13</f>
        <v/>
      </c>
      <c r="O5" s="5">
        <f>'Income Statement'!O13</f>
        <v/>
      </c>
      <c r="P5" s="5">
        <f>'Income Statement'!P13</f>
        <v/>
      </c>
    </row>
    <row r="6">
      <c r="A6" s="6" t="inlineStr">
        <is>
          <t>Net Income</t>
        </is>
      </c>
      <c r="B6" s="7">
        <f>'Income Statement'!B18</f>
        <v/>
      </c>
      <c r="C6" s="7">
        <f>'Income Statement'!C18</f>
        <v/>
      </c>
      <c r="D6" s="7">
        <f>'Income Statement'!D18</f>
        <v/>
      </c>
      <c r="E6" s="7">
        <f>'Income Statement'!E18</f>
        <v/>
      </c>
      <c r="F6" s="7">
        <f>'Income Statement'!F18</f>
        <v/>
      </c>
      <c r="G6" s="7">
        <f>'Income Statement'!G18</f>
        <v/>
      </c>
      <c r="H6" s="7">
        <f>'Income Statement'!H18</f>
        <v/>
      </c>
      <c r="I6" s="7">
        <f>'Income Statement'!I18</f>
        <v/>
      </c>
      <c r="J6" s="7">
        <f>'Income Statement'!J18</f>
        <v/>
      </c>
      <c r="K6" s="7">
        <f>'Income Statement'!K18</f>
        <v/>
      </c>
      <c r="L6" s="7">
        <f>'Income Statement'!L18</f>
        <v/>
      </c>
      <c r="M6" s="7">
        <f>'Income Statement'!M18</f>
        <v/>
      </c>
      <c r="N6" s="7">
        <f>'Income Statement'!N18</f>
        <v/>
      </c>
      <c r="O6" s="7">
        <f>'Income Statement'!O18</f>
        <v/>
      </c>
      <c r="P6" s="7">
        <f>'Income Statement'!P18</f>
        <v/>
      </c>
    </row>
    <row r="7">
      <c r="A7" s="4" t="inlineStr">
        <is>
          <t>Cash from Operations</t>
        </is>
      </c>
      <c r="B7" s="5">
        <f>'Cash Flow'!B12</f>
        <v/>
      </c>
      <c r="C7" s="5">
        <f>'Cash Flow'!C12</f>
        <v/>
      </c>
      <c r="D7" s="5">
        <f>'Cash Flow'!D12</f>
        <v/>
      </c>
      <c r="E7" s="5">
        <f>'Cash Flow'!E12</f>
        <v/>
      </c>
      <c r="F7" s="5">
        <f>'Cash Flow'!F12</f>
        <v/>
      </c>
      <c r="G7" s="5">
        <f>'Cash Flow'!G12</f>
        <v/>
      </c>
      <c r="H7" s="5">
        <f>'Cash Flow'!H12</f>
        <v/>
      </c>
      <c r="I7" s="5">
        <f>'Cash Flow'!I12</f>
        <v/>
      </c>
      <c r="J7" s="5">
        <f>'Cash Flow'!J12</f>
        <v/>
      </c>
      <c r="K7" s="5">
        <f>'Cash Flow'!K12</f>
        <v/>
      </c>
      <c r="L7" s="5">
        <f>'Cash Flow'!L12</f>
        <v/>
      </c>
      <c r="M7" s="5">
        <f>'Cash Flow'!M12</f>
        <v/>
      </c>
      <c r="N7" s="5">
        <f>'Cash Flow'!N12</f>
        <v/>
      </c>
      <c r="O7" s="5">
        <f>'Cash Flow'!O12</f>
        <v/>
      </c>
      <c r="P7" s="5">
        <f>'Cash Flow'!P12</f>
        <v/>
      </c>
    </row>
    <row r="8">
      <c r="A8" s="6" t="inlineStr">
        <is>
          <t>CapEx</t>
        </is>
      </c>
      <c r="B8" s="7">
        <f>'Cash Flow'!B15</f>
        <v/>
      </c>
      <c r="C8" s="7">
        <f>'Cash Flow'!C15</f>
        <v/>
      </c>
      <c r="D8" s="7">
        <f>'Cash Flow'!D15</f>
        <v/>
      </c>
      <c r="E8" s="7">
        <f>'Cash Flow'!E15</f>
        <v/>
      </c>
      <c r="F8" s="7">
        <f>'Cash Flow'!F15</f>
        <v/>
      </c>
      <c r="G8" s="7">
        <f>'Cash Flow'!G15</f>
        <v/>
      </c>
      <c r="H8" s="7">
        <f>'Cash Flow'!H15</f>
        <v/>
      </c>
      <c r="I8" s="7">
        <f>'Cash Flow'!I15</f>
        <v/>
      </c>
      <c r="J8" s="7">
        <f>'Cash Flow'!J15</f>
        <v/>
      </c>
      <c r="K8" s="7">
        <f>'Cash Flow'!K15</f>
        <v/>
      </c>
      <c r="L8" s="7">
        <f>'Cash Flow'!L15</f>
        <v/>
      </c>
      <c r="M8" s="7">
        <f>'Cash Flow'!M15</f>
        <v/>
      </c>
      <c r="N8" s="7">
        <f>'Cash Flow'!N15</f>
        <v/>
      </c>
      <c r="O8" s="7">
        <f>'Cash Flow'!O15</f>
        <v/>
      </c>
      <c r="P8" s="7">
        <f>'Cash Flow'!P15</f>
        <v/>
      </c>
    </row>
    <row r="9">
      <c r="A9" s="4" t="inlineStr">
        <is>
          <t>Free Cash Flow</t>
        </is>
      </c>
      <c r="B9" s="5">
        <f>'Cash Flow'!B12+'Cash Flow'!B15</f>
        <v/>
      </c>
      <c r="C9" s="5">
        <f>'Cash Flow'!C12+'Cash Flow'!C15</f>
        <v/>
      </c>
      <c r="D9" s="5">
        <f>'Cash Flow'!D12+'Cash Flow'!D15</f>
        <v/>
      </c>
      <c r="E9" s="5">
        <f>'Cash Flow'!E12+'Cash Flow'!E15</f>
        <v/>
      </c>
      <c r="F9" s="5">
        <f>'Cash Flow'!F12+'Cash Flow'!F15</f>
        <v/>
      </c>
      <c r="G9" s="5">
        <f>'Cash Flow'!G12+'Cash Flow'!G15</f>
        <v/>
      </c>
      <c r="H9" s="5">
        <f>'Cash Flow'!H12+'Cash Flow'!H15</f>
        <v/>
      </c>
      <c r="I9" s="5">
        <f>'Cash Flow'!I12+'Cash Flow'!I15</f>
        <v/>
      </c>
      <c r="J9" s="5">
        <f>'Cash Flow'!J12+'Cash Flow'!J15</f>
        <v/>
      </c>
      <c r="K9" s="5">
        <f>'Cash Flow'!K12+'Cash Flow'!K15</f>
        <v/>
      </c>
      <c r="L9" s="5">
        <f>'Cash Flow'!L12+'Cash Flow'!L15</f>
        <v/>
      </c>
      <c r="M9" s="5">
        <f>'Cash Flow'!M12+'Cash Flow'!M15</f>
        <v/>
      </c>
      <c r="N9" s="5">
        <f>'Cash Flow'!N12+'Cash Flow'!N15</f>
        <v/>
      </c>
      <c r="O9" s="5">
        <f>'Cash Flow'!O12+'Cash Flow'!O15</f>
        <v/>
      </c>
      <c r="P9" s="5">
        <f>'Cash Flow'!P12+'Cash Flow'!P15</f>
        <v/>
      </c>
    </row>
    <row r="10">
      <c r="A10" s="6" t="inlineStr">
        <is>
          <t>Ending Cash</t>
        </is>
      </c>
      <c r="B10" s="7">
        <f>'Cash Flow'!B22</f>
        <v/>
      </c>
      <c r="C10" s="7">
        <f>'Cash Flow'!C22</f>
        <v/>
      </c>
      <c r="D10" s="7">
        <f>'Cash Flow'!D22</f>
        <v/>
      </c>
      <c r="E10" s="7">
        <f>'Cash Flow'!E22</f>
        <v/>
      </c>
      <c r="F10" s="7">
        <f>'Cash Flow'!F22</f>
        <v/>
      </c>
      <c r="G10" s="7">
        <f>'Cash Flow'!G22</f>
        <v/>
      </c>
      <c r="H10" s="7">
        <f>'Cash Flow'!H22</f>
        <v/>
      </c>
      <c r="I10" s="7">
        <f>'Cash Flow'!I22</f>
        <v/>
      </c>
      <c r="J10" s="7">
        <f>'Cash Flow'!J22</f>
        <v/>
      </c>
      <c r="K10" s="7">
        <f>'Cash Flow'!K22</f>
        <v/>
      </c>
      <c r="L10" s="7">
        <f>'Cash Flow'!L22</f>
        <v/>
      </c>
      <c r="M10" s="7">
        <f>'Cash Flow'!M22</f>
        <v/>
      </c>
      <c r="N10" s="7">
        <f>'Cash Flow'!N22</f>
        <v/>
      </c>
      <c r="O10" s="7">
        <f>'Cash Flow'!O22</f>
        <v/>
      </c>
      <c r="P10" s="7">
        <f>'Cash Flow'!P22</f>
        <v/>
      </c>
    </row>
    <row r="11">
      <c r="A11" s="4" t="inlineStr">
        <is>
          <t>Total Assets</t>
        </is>
      </c>
      <c r="B11" s="5">
        <f>'Balance Sheet'!B12</f>
        <v/>
      </c>
      <c r="C11" s="5">
        <f>'Balance Sheet'!C12</f>
        <v/>
      </c>
      <c r="D11" s="5">
        <f>'Balance Sheet'!D12</f>
        <v/>
      </c>
      <c r="E11" s="5">
        <f>'Balance Sheet'!E12</f>
        <v/>
      </c>
      <c r="F11" s="5">
        <f>'Balance Sheet'!F12</f>
        <v/>
      </c>
      <c r="G11" s="5">
        <f>'Balance Sheet'!G12</f>
        <v/>
      </c>
      <c r="H11" s="5">
        <f>'Balance Sheet'!H12</f>
        <v/>
      </c>
      <c r="I11" s="5">
        <f>'Balance Sheet'!I12</f>
        <v/>
      </c>
      <c r="J11" s="5">
        <f>'Balance Sheet'!J12</f>
        <v/>
      </c>
      <c r="K11" s="5">
        <f>'Balance Sheet'!K12</f>
        <v/>
      </c>
      <c r="L11" s="5">
        <f>'Balance Sheet'!L12</f>
        <v/>
      </c>
      <c r="M11" s="5">
        <f>'Balance Sheet'!M12</f>
        <v/>
      </c>
      <c r="N11" s="5">
        <f>'Balance Sheet'!N12</f>
        <v/>
      </c>
      <c r="O11" s="5">
        <f>'Balance Sheet'!O12</f>
        <v/>
      </c>
      <c r="P11" s="5">
        <f>'Balance Sheet'!P12</f>
        <v/>
      </c>
    </row>
    <row r="12">
      <c r="A12" s="6" t="inlineStr">
        <is>
          <t>Total Debt</t>
        </is>
      </c>
      <c r="B12" s="7">
        <f>'Balance Sheet'!B19</f>
        <v/>
      </c>
      <c r="C12" s="7">
        <f>'Balance Sheet'!C19</f>
        <v/>
      </c>
      <c r="D12" s="7">
        <f>'Balance Sheet'!D19</f>
        <v/>
      </c>
      <c r="E12" s="7">
        <f>'Balance Sheet'!E19</f>
        <v/>
      </c>
      <c r="F12" s="7">
        <f>'Balance Sheet'!F19</f>
        <v/>
      </c>
      <c r="G12" s="7">
        <f>'Balance Sheet'!G19</f>
        <v/>
      </c>
      <c r="H12" s="7">
        <f>'Balance Sheet'!H19</f>
        <v/>
      </c>
      <c r="I12" s="7">
        <f>'Balance Sheet'!I19</f>
        <v/>
      </c>
      <c r="J12" s="7">
        <f>'Balance Sheet'!J19</f>
        <v/>
      </c>
      <c r="K12" s="7">
        <f>'Balance Sheet'!K19</f>
        <v/>
      </c>
      <c r="L12" s="7">
        <f>'Balance Sheet'!L19</f>
        <v/>
      </c>
      <c r="M12" s="7">
        <f>'Balance Sheet'!M19</f>
        <v/>
      </c>
      <c r="N12" s="7">
        <f>'Balance Sheet'!N19</f>
        <v/>
      </c>
      <c r="O12" s="7">
        <f>'Balance Sheet'!O19</f>
        <v/>
      </c>
      <c r="P12" s="7">
        <f>'Balance Sheet'!P19</f>
        <v/>
      </c>
    </row>
    <row r="13">
      <c r="A13" s="4" t="inlineStr">
        <is>
          <t>Total Equity</t>
        </is>
      </c>
      <c r="B13" s="5">
        <f>'Balance Sheet'!B26</f>
        <v/>
      </c>
      <c r="C13" s="5">
        <f>'Balance Sheet'!C26</f>
        <v/>
      </c>
      <c r="D13" s="5">
        <f>'Balance Sheet'!D26</f>
        <v/>
      </c>
      <c r="E13" s="5">
        <f>'Balance Sheet'!E26</f>
        <v/>
      </c>
      <c r="F13" s="5">
        <f>'Balance Sheet'!F26</f>
        <v/>
      </c>
      <c r="G13" s="5">
        <f>'Balance Sheet'!G26</f>
        <v/>
      </c>
      <c r="H13" s="5">
        <f>'Balance Sheet'!H26</f>
        <v/>
      </c>
      <c r="I13" s="5">
        <f>'Balance Sheet'!I26</f>
        <v/>
      </c>
      <c r="J13" s="5">
        <f>'Balance Sheet'!J26</f>
        <v/>
      </c>
      <c r="K13" s="5">
        <f>'Balance Sheet'!K26</f>
        <v/>
      </c>
      <c r="L13" s="5">
        <f>'Balance Sheet'!L26</f>
        <v/>
      </c>
      <c r="M13" s="5">
        <f>'Balance Sheet'!M26</f>
        <v/>
      </c>
      <c r="N13" s="5">
        <f>'Balance Sheet'!N26</f>
        <v/>
      </c>
      <c r="O13" s="5">
        <f>'Balance Sheet'!O26</f>
        <v/>
      </c>
      <c r="P13" s="5">
        <f>'Balance Sheet'!P26</f>
        <v/>
      </c>
    </row>
    <row r="14">
      <c r="A14" s="6" t="inlineStr">
        <is>
          <t>Gross Margin %</t>
        </is>
      </c>
      <c r="B14" s="8">
        <f>'Income Statement'!B20</f>
        <v/>
      </c>
      <c r="C14" s="8">
        <f>'Income Statement'!C20</f>
        <v/>
      </c>
      <c r="D14" s="8">
        <f>'Income Statement'!D20</f>
        <v/>
      </c>
      <c r="E14" s="8">
        <f>'Income Statement'!E20</f>
        <v/>
      </c>
      <c r="F14" s="8">
        <f>'Income Statement'!F20</f>
        <v/>
      </c>
      <c r="G14" s="8">
        <f>'Income Statement'!G20</f>
        <v/>
      </c>
      <c r="H14" s="8">
        <f>'Income Statement'!H20</f>
        <v/>
      </c>
      <c r="I14" s="8">
        <f>'Income Statement'!I20</f>
        <v/>
      </c>
      <c r="J14" s="8">
        <f>'Income Statement'!J20</f>
        <v/>
      </c>
      <c r="K14" s="8">
        <f>'Income Statement'!K20</f>
        <v/>
      </c>
      <c r="L14" s="8">
        <f>'Income Statement'!L20</f>
        <v/>
      </c>
      <c r="M14" s="8">
        <f>'Income Statement'!M20</f>
        <v/>
      </c>
      <c r="N14" s="8">
        <f>'Income Statement'!N20</f>
        <v/>
      </c>
      <c r="O14" s="8">
        <f>'Income Statement'!O20</f>
        <v/>
      </c>
      <c r="P14" s="8">
        <f>'Income Statement'!P20</f>
        <v/>
      </c>
    </row>
    <row r="15">
      <c r="A15" s="4" t="inlineStr">
        <is>
          <t>Net Margin %</t>
        </is>
      </c>
      <c r="B15" s="9">
        <f>'Income Statement'!B22</f>
        <v/>
      </c>
      <c r="C15" s="9">
        <f>'Income Statement'!C22</f>
        <v/>
      </c>
      <c r="D15" s="9">
        <f>'Income Statement'!D22</f>
        <v/>
      </c>
      <c r="E15" s="9">
        <f>'Income Statement'!E22</f>
        <v/>
      </c>
      <c r="F15" s="9">
        <f>'Income Statement'!F22</f>
        <v/>
      </c>
      <c r="G15" s="9">
        <f>'Income Statement'!G22</f>
        <v/>
      </c>
      <c r="H15" s="9">
        <f>'Income Statement'!H22</f>
        <v/>
      </c>
      <c r="I15" s="9">
        <f>'Income Statement'!I22</f>
        <v/>
      </c>
      <c r="J15" s="9">
        <f>'Income Statement'!J22</f>
        <v/>
      </c>
      <c r="K15" s="9">
        <f>'Income Statement'!K22</f>
        <v/>
      </c>
      <c r="L15" s="9">
        <f>'Income Statement'!L22</f>
        <v/>
      </c>
      <c r="M15" s="9">
        <f>'Income Statement'!M22</f>
        <v/>
      </c>
      <c r="N15" s="9">
        <f>'Income Statement'!N22</f>
        <v/>
      </c>
      <c r="O15" s="9">
        <f>'Income Statement'!O22</f>
        <v/>
      </c>
      <c r="P15" s="9">
        <f>'Income Statement'!P22</f>
        <v/>
      </c>
    </row>
    <row r="16">
      <c r="A16" s="6" t="inlineStr">
        <is>
          <t>Debt / Equity</t>
        </is>
      </c>
      <c r="B16" s="8">
        <f>'Balance Sheet'!B19/'Balance Sheet'!B26</f>
        <v/>
      </c>
      <c r="C16" s="8">
        <f>'Balance Sheet'!C19/'Balance Sheet'!C26</f>
        <v/>
      </c>
      <c r="D16" s="8">
        <f>'Balance Sheet'!D19/'Balance Sheet'!D26</f>
        <v/>
      </c>
      <c r="E16" s="8">
        <f>'Balance Sheet'!E19/'Balance Sheet'!E26</f>
        <v/>
      </c>
      <c r="F16" s="8">
        <f>'Balance Sheet'!F19/'Balance Sheet'!F26</f>
        <v/>
      </c>
      <c r="G16" s="8">
        <f>'Balance Sheet'!G19/'Balance Sheet'!G26</f>
        <v/>
      </c>
      <c r="H16" s="8">
        <f>'Balance Sheet'!H19/'Balance Sheet'!H26</f>
        <v/>
      </c>
      <c r="I16" s="8">
        <f>'Balance Sheet'!I19/'Balance Sheet'!I26</f>
        <v/>
      </c>
      <c r="J16" s="8">
        <f>'Balance Sheet'!J19/'Balance Sheet'!J26</f>
        <v/>
      </c>
      <c r="K16" s="8">
        <f>'Balance Sheet'!K19/'Balance Sheet'!K26</f>
        <v/>
      </c>
      <c r="L16" s="8">
        <f>'Balance Sheet'!L19/'Balance Sheet'!L26</f>
        <v/>
      </c>
      <c r="M16" s="8">
        <f>'Balance Sheet'!M19/'Balance Sheet'!M26</f>
        <v/>
      </c>
      <c r="N16" s="8">
        <f>'Balance Sheet'!N19/'Balance Sheet'!N26</f>
        <v/>
      </c>
      <c r="O16" s="8">
        <f>'Balance Sheet'!O19/'Balance Sheet'!O26</f>
        <v/>
      </c>
      <c r="P16" s="8">
        <f>'Balance Sheet'!P19/'Balance Sheet'!P26</f>
        <v/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2:P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6" customHeight="1"/>
    <row r="2">
      <c r="A2" s="2" t="inlineStr">
        <is>
          <t>USD (thousands)</t>
        </is>
      </c>
      <c r="B2" s="3" t="n">
        <v>2024</v>
      </c>
      <c r="C2" s="3" t="n">
        <v>2025</v>
      </c>
      <c r="D2" s="3" t="n">
        <v>2026</v>
      </c>
      <c r="E2" s="3" t="n">
        <v>2027</v>
      </c>
      <c r="F2" s="3" t="n">
        <v>2028</v>
      </c>
      <c r="G2" s="3" t="n">
        <v>2029</v>
      </c>
      <c r="H2" s="3" t="n">
        <v>2030</v>
      </c>
      <c r="I2" s="3" t="n">
        <v>2031</v>
      </c>
      <c r="J2" s="3" t="n">
        <v>2032</v>
      </c>
      <c r="K2" s="3" t="n">
        <v>2033</v>
      </c>
      <c r="L2" s="3" t="n">
        <v>2034</v>
      </c>
      <c r="M2" s="3" t="n">
        <v>2035</v>
      </c>
      <c r="N2" s="3" t="n">
        <v>2036</v>
      </c>
      <c r="O2" s="3" t="n">
        <v>2037</v>
      </c>
      <c r="P2" s="3" t="n">
        <v>2038</v>
      </c>
    </row>
    <row r="3">
      <c r="A3" s="10" t="inlineStr">
        <is>
          <t>REVENUE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</row>
    <row r="4">
      <c r="A4" s="4" t="inlineStr">
        <is>
          <t xml:space="preserve">    Net Revenue</t>
        </is>
      </c>
      <c r="B4" s="12" t="n">
        <v>50000</v>
      </c>
      <c r="C4" s="5">
        <f>B4*(1+0.08)</f>
        <v/>
      </c>
      <c r="D4" s="5">
        <f>C4*(1+0.08)</f>
        <v/>
      </c>
      <c r="E4" s="5">
        <f>D4*(1+0.08)</f>
        <v/>
      </c>
      <c r="F4" s="5">
        <f>E4*(1+0.08)</f>
        <v/>
      </c>
      <c r="G4" s="5">
        <f>F4*(1+0.08)</f>
        <v/>
      </c>
      <c r="H4" s="5">
        <f>G4*(1+0.08)</f>
        <v/>
      </c>
      <c r="I4" s="5">
        <f>H4*(1+0.08)</f>
        <v/>
      </c>
      <c r="J4" s="5">
        <f>I4*(1+0.08)</f>
        <v/>
      </c>
      <c r="K4" s="5">
        <f>J4*(1+0.08)</f>
        <v/>
      </c>
      <c r="L4" s="5">
        <f>K4*(1+0.08)</f>
        <v/>
      </c>
      <c r="M4" s="5">
        <f>L4*(1+0.08)</f>
        <v/>
      </c>
      <c r="N4" s="5">
        <f>M4*(1+0.08)</f>
        <v/>
      </c>
      <c r="O4" s="5">
        <f>N4*(1+0.08)</f>
        <v/>
      </c>
      <c r="P4" s="5">
        <f>O4*(1+0.08)</f>
        <v/>
      </c>
    </row>
    <row r="5">
      <c r="A5" s="10" t="inlineStr">
        <is>
          <t>COST OF GOODS SOLD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</row>
    <row r="6">
      <c r="A6" s="6" t="inlineStr">
        <is>
          <t xml:space="preserve">    Cost of Goods Sold</t>
        </is>
      </c>
      <c r="B6" s="7">
        <f>-B4*0.6</f>
        <v/>
      </c>
      <c r="C6" s="7">
        <f>-C4*0.6</f>
        <v/>
      </c>
      <c r="D6" s="7">
        <f>-D4*0.6</f>
        <v/>
      </c>
      <c r="E6" s="7">
        <f>-E4*0.6</f>
        <v/>
      </c>
      <c r="F6" s="7">
        <f>-F4*0.6</f>
        <v/>
      </c>
      <c r="G6" s="7">
        <f>-G4*0.6</f>
        <v/>
      </c>
      <c r="H6" s="7">
        <f>-H4*0.6</f>
        <v/>
      </c>
      <c r="I6" s="7">
        <f>-I4*0.6</f>
        <v/>
      </c>
      <c r="J6" s="7">
        <f>-J4*0.6</f>
        <v/>
      </c>
      <c r="K6" s="7">
        <f>-K4*0.6</f>
        <v/>
      </c>
      <c r="L6" s="7">
        <f>-L4*0.6</f>
        <v/>
      </c>
      <c r="M6" s="7">
        <f>-M4*0.6</f>
        <v/>
      </c>
      <c r="N6" s="7">
        <f>-N4*0.6</f>
        <v/>
      </c>
      <c r="O6" s="7">
        <f>-O4*0.6</f>
        <v/>
      </c>
      <c r="P6" s="7">
        <f>-P4*0.6</f>
        <v/>
      </c>
    </row>
    <row r="7">
      <c r="A7" s="13" t="inlineStr">
        <is>
          <t>Gross Profit</t>
        </is>
      </c>
      <c r="B7" s="14">
        <f>B4+B6</f>
        <v/>
      </c>
      <c r="C7" s="14">
        <f>C4+C6</f>
        <v/>
      </c>
      <c r="D7" s="14">
        <f>D4+D6</f>
        <v/>
      </c>
      <c r="E7" s="14">
        <f>E4+E6</f>
        <v/>
      </c>
      <c r="F7" s="14">
        <f>F4+F6</f>
        <v/>
      </c>
      <c r="G7" s="14">
        <f>G4+G6</f>
        <v/>
      </c>
      <c r="H7" s="14">
        <f>H4+H6</f>
        <v/>
      </c>
      <c r="I7" s="14">
        <f>I4+I6</f>
        <v/>
      </c>
      <c r="J7" s="14">
        <f>J4+J6</f>
        <v/>
      </c>
      <c r="K7" s="14">
        <f>K4+K6</f>
        <v/>
      </c>
      <c r="L7" s="14">
        <f>L4+L6</f>
        <v/>
      </c>
      <c r="M7" s="14">
        <f>M4+M6</f>
        <v/>
      </c>
      <c r="N7" s="14">
        <f>N4+N6</f>
        <v/>
      </c>
      <c r="O7" s="14">
        <f>O4+O6</f>
        <v/>
      </c>
      <c r="P7" s="14">
        <f>P4+P6</f>
        <v/>
      </c>
    </row>
    <row r="8">
      <c r="A8" s="10" t="inlineStr">
        <is>
          <t>OPERATING EXPENSES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</row>
    <row r="9">
      <c r="A9" s="4" t="inlineStr">
        <is>
          <t xml:space="preserve">    Research &amp; Development</t>
        </is>
      </c>
      <c r="B9" s="5">
        <f>-B4*0.08</f>
        <v/>
      </c>
      <c r="C9" s="5">
        <f>-C4*0.08</f>
        <v/>
      </c>
      <c r="D9" s="5">
        <f>-D4*0.08</f>
        <v/>
      </c>
      <c r="E9" s="5">
        <f>-E4*0.08</f>
        <v/>
      </c>
      <c r="F9" s="5">
        <f>-F4*0.08</f>
        <v/>
      </c>
      <c r="G9" s="5">
        <f>-G4*0.08</f>
        <v/>
      </c>
      <c r="H9" s="5">
        <f>-H4*0.08</f>
        <v/>
      </c>
      <c r="I9" s="5">
        <f>-I4*0.08</f>
        <v/>
      </c>
      <c r="J9" s="5">
        <f>-J4*0.08</f>
        <v/>
      </c>
      <c r="K9" s="5">
        <f>-K4*0.08</f>
        <v/>
      </c>
      <c r="L9" s="5">
        <f>-L4*0.08</f>
        <v/>
      </c>
      <c r="M9" s="5">
        <f>-M4*0.08</f>
        <v/>
      </c>
      <c r="N9" s="5">
        <f>-N4*0.08</f>
        <v/>
      </c>
      <c r="O9" s="5">
        <f>-O4*0.08</f>
        <v/>
      </c>
      <c r="P9" s="5">
        <f>-P4*0.08</f>
        <v/>
      </c>
    </row>
    <row r="10">
      <c r="A10" s="6" t="inlineStr">
        <is>
          <t xml:space="preserve">    Selling, General &amp; Admin</t>
        </is>
      </c>
      <c r="B10" s="7">
        <f>-B4*0.12</f>
        <v/>
      </c>
      <c r="C10" s="7">
        <f>-C4*0.12</f>
        <v/>
      </c>
      <c r="D10" s="7">
        <f>-D4*0.12</f>
        <v/>
      </c>
      <c r="E10" s="7">
        <f>-E4*0.12</f>
        <v/>
      </c>
      <c r="F10" s="7">
        <f>-F4*0.12</f>
        <v/>
      </c>
      <c r="G10" s="7">
        <f>-G4*0.12</f>
        <v/>
      </c>
      <c r="H10" s="7">
        <f>-H4*0.12</f>
        <v/>
      </c>
      <c r="I10" s="7">
        <f>-I4*0.12</f>
        <v/>
      </c>
      <c r="J10" s="7">
        <f>-J4*0.12</f>
        <v/>
      </c>
      <c r="K10" s="7">
        <f>-K4*0.12</f>
        <v/>
      </c>
      <c r="L10" s="7">
        <f>-L4*0.12</f>
        <v/>
      </c>
      <c r="M10" s="7">
        <f>-M4*0.12</f>
        <v/>
      </c>
      <c r="N10" s="7">
        <f>-N4*0.12</f>
        <v/>
      </c>
      <c r="O10" s="7">
        <f>-O4*0.12</f>
        <v/>
      </c>
      <c r="P10" s="7">
        <f>-P4*0.12</f>
        <v/>
      </c>
    </row>
    <row r="11">
      <c r="A11" s="4" t="inlineStr">
        <is>
          <t xml:space="preserve">    Depreciation &amp; Amortisation</t>
        </is>
      </c>
      <c r="B11" s="5">
        <f>-B4*0.05</f>
        <v/>
      </c>
      <c r="C11" s="5">
        <f>-C4*0.05</f>
        <v/>
      </c>
      <c r="D11" s="5">
        <f>-D4*0.05</f>
        <v/>
      </c>
      <c r="E11" s="5">
        <f>-E4*0.05</f>
        <v/>
      </c>
      <c r="F11" s="5">
        <f>-F4*0.05</f>
        <v/>
      </c>
      <c r="G11" s="5">
        <f>-G4*0.05</f>
        <v/>
      </c>
      <c r="H11" s="5">
        <f>-H4*0.05</f>
        <v/>
      </c>
      <c r="I11" s="5">
        <f>-I4*0.05</f>
        <v/>
      </c>
      <c r="J11" s="5">
        <f>-J4*0.05</f>
        <v/>
      </c>
      <c r="K11" s="5">
        <f>-K4*0.05</f>
        <v/>
      </c>
      <c r="L11" s="5">
        <f>-L4*0.05</f>
        <v/>
      </c>
      <c r="M11" s="5">
        <f>-M4*0.05</f>
        <v/>
      </c>
      <c r="N11" s="5">
        <f>-N4*0.05</f>
        <v/>
      </c>
      <c r="O11" s="5">
        <f>-O4*0.05</f>
        <v/>
      </c>
      <c r="P11" s="5">
        <f>-P4*0.05</f>
        <v/>
      </c>
    </row>
    <row r="12">
      <c r="A12" s="13" t="inlineStr">
        <is>
          <t>Total Operating Expenses</t>
        </is>
      </c>
      <c r="B12" s="14">
        <f>SUM(B9:B11)</f>
        <v/>
      </c>
      <c r="C12" s="14">
        <f>SUM(C9:C11)</f>
        <v/>
      </c>
      <c r="D12" s="14">
        <f>SUM(D9:D11)</f>
        <v/>
      </c>
      <c r="E12" s="14">
        <f>SUM(E9:E11)</f>
        <v/>
      </c>
      <c r="F12" s="14">
        <f>SUM(F9:F11)</f>
        <v/>
      </c>
      <c r="G12" s="14">
        <f>SUM(G9:G11)</f>
        <v/>
      </c>
      <c r="H12" s="14">
        <f>SUM(H9:H11)</f>
        <v/>
      </c>
      <c r="I12" s="14">
        <f>SUM(I9:I11)</f>
        <v/>
      </c>
      <c r="J12" s="14">
        <f>SUM(J9:J11)</f>
        <v/>
      </c>
      <c r="K12" s="14">
        <f>SUM(K9:K11)</f>
        <v/>
      </c>
      <c r="L12" s="14">
        <f>SUM(L9:L11)</f>
        <v/>
      </c>
      <c r="M12" s="14">
        <f>SUM(M9:M11)</f>
        <v/>
      </c>
      <c r="N12" s="14">
        <f>SUM(N9:N11)</f>
        <v/>
      </c>
      <c r="O12" s="14">
        <f>SUM(O9:O11)</f>
        <v/>
      </c>
      <c r="P12" s="14">
        <f>SUM(P9:P11)</f>
        <v/>
      </c>
    </row>
    <row r="13">
      <c r="A13" s="15" t="inlineStr">
        <is>
          <t>Operating Income (EBIT)</t>
        </is>
      </c>
      <c r="B13" s="16">
        <f>B7+B12</f>
        <v/>
      </c>
      <c r="C13" s="16">
        <f>C7+C12</f>
        <v/>
      </c>
      <c r="D13" s="16">
        <f>D7+D12</f>
        <v/>
      </c>
      <c r="E13" s="16">
        <f>E7+E12</f>
        <v/>
      </c>
      <c r="F13" s="16">
        <f>F7+F12</f>
        <v/>
      </c>
      <c r="G13" s="16">
        <f>G7+G12</f>
        <v/>
      </c>
      <c r="H13" s="16">
        <f>H7+H12</f>
        <v/>
      </c>
      <c r="I13" s="16">
        <f>I7+I12</f>
        <v/>
      </c>
      <c r="J13" s="16">
        <f>J7+J12</f>
        <v/>
      </c>
      <c r="K13" s="16">
        <f>K7+K12</f>
        <v/>
      </c>
      <c r="L13" s="16">
        <f>L7+L12</f>
        <v/>
      </c>
      <c r="M13" s="16">
        <f>M7+M12</f>
        <v/>
      </c>
      <c r="N13" s="16">
        <f>N7+N12</f>
        <v/>
      </c>
      <c r="O13" s="16">
        <f>O7+O12</f>
        <v/>
      </c>
      <c r="P13" s="16">
        <f>P7+P12</f>
        <v/>
      </c>
    </row>
    <row r="14">
      <c r="A14" s="10" t="inlineStr">
        <is>
          <t>BELOW THE LINE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</row>
    <row r="15">
      <c r="A15" s="4" t="inlineStr">
        <is>
          <t xml:space="preserve">    Interest Expense</t>
        </is>
      </c>
      <c r="B15" s="5">
        <f>-20000*0.05</f>
        <v/>
      </c>
      <c r="C15" s="5">
        <f>-'Balance Sheet'!B19*0.05</f>
        <v/>
      </c>
      <c r="D15" s="5">
        <f>-'Balance Sheet'!C19*0.05</f>
        <v/>
      </c>
      <c r="E15" s="5">
        <f>-'Balance Sheet'!D19*0.05</f>
        <v/>
      </c>
      <c r="F15" s="5">
        <f>-'Balance Sheet'!E19*0.05</f>
        <v/>
      </c>
      <c r="G15" s="5">
        <f>-'Balance Sheet'!F19*0.05</f>
        <v/>
      </c>
      <c r="H15" s="5">
        <f>-'Balance Sheet'!G19*0.05</f>
        <v/>
      </c>
      <c r="I15" s="5">
        <f>-'Balance Sheet'!H19*0.05</f>
        <v/>
      </c>
      <c r="J15" s="5">
        <f>-'Balance Sheet'!I19*0.05</f>
        <v/>
      </c>
      <c r="K15" s="5">
        <f>-'Balance Sheet'!J19*0.05</f>
        <v/>
      </c>
      <c r="L15" s="5">
        <f>-'Balance Sheet'!K19*0.05</f>
        <v/>
      </c>
      <c r="M15" s="5">
        <f>-'Balance Sheet'!L19*0.05</f>
        <v/>
      </c>
      <c r="N15" s="5">
        <f>-'Balance Sheet'!M19*0.05</f>
        <v/>
      </c>
      <c r="O15" s="5">
        <f>-'Balance Sheet'!N19*0.05</f>
        <v/>
      </c>
      <c r="P15" s="5">
        <f>-'Balance Sheet'!O19*0.05</f>
        <v/>
      </c>
    </row>
    <row r="16">
      <c r="A16" s="13" t="inlineStr">
        <is>
          <t>Earnings Before Tax (EBT)</t>
        </is>
      </c>
      <c r="B16" s="14">
        <f>B13+B15</f>
        <v/>
      </c>
      <c r="C16" s="14">
        <f>C13+C15</f>
        <v/>
      </c>
      <c r="D16" s="14">
        <f>D13+D15</f>
        <v/>
      </c>
      <c r="E16" s="14">
        <f>E13+E15</f>
        <v/>
      </c>
      <c r="F16" s="14">
        <f>F13+F15</f>
        <v/>
      </c>
      <c r="G16" s="14">
        <f>G13+G15</f>
        <v/>
      </c>
      <c r="H16" s="14">
        <f>H13+H15</f>
        <v/>
      </c>
      <c r="I16" s="14">
        <f>I13+I15</f>
        <v/>
      </c>
      <c r="J16" s="14">
        <f>J13+J15</f>
        <v/>
      </c>
      <c r="K16" s="14">
        <f>K13+K15</f>
        <v/>
      </c>
      <c r="L16" s="14">
        <f>L13+L15</f>
        <v/>
      </c>
      <c r="M16" s="14">
        <f>M13+M15</f>
        <v/>
      </c>
      <c r="N16" s="14">
        <f>N13+N15</f>
        <v/>
      </c>
      <c r="O16" s="14">
        <f>O13+O15</f>
        <v/>
      </c>
      <c r="P16" s="14">
        <f>P13+P15</f>
        <v/>
      </c>
    </row>
    <row r="17">
      <c r="A17" s="4" t="inlineStr">
        <is>
          <t xml:space="preserve">    Income Tax Expense</t>
        </is>
      </c>
      <c r="B17" s="5">
        <f>-MAX(B16*0.21,0)</f>
        <v/>
      </c>
      <c r="C17" s="5">
        <f>-MAX(C16*0.21,0)</f>
        <v/>
      </c>
      <c r="D17" s="5">
        <f>-MAX(D16*0.21,0)</f>
        <v/>
      </c>
      <c r="E17" s="5">
        <f>-MAX(E16*0.21,0)</f>
        <v/>
      </c>
      <c r="F17" s="5">
        <f>-MAX(F16*0.21,0)</f>
        <v/>
      </c>
      <c r="G17" s="5">
        <f>-MAX(G16*0.21,0)</f>
        <v/>
      </c>
      <c r="H17" s="5">
        <f>-MAX(H16*0.21,0)</f>
        <v/>
      </c>
      <c r="I17" s="5">
        <f>-MAX(I16*0.21,0)</f>
        <v/>
      </c>
      <c r="J17" s="5">
        <f>-MAX(J16*0.21,0)</f>
        <v/>
      </c>
      <c r="K17" s="5">
        <f>-MAX(K16*0.21,0)</f>
        <v/>
      </c>
      <c r="L17" s="5">
        <f>-MAX(L16*0.21,0)</f>
        <v/>
      </c>
      <c r="M17" s="5">
        <f>-MAX(M16*0.21,0)</f>
        <v/>
      </c>
      <c r="N17" s="5">
        <f>-MAX(N16*0.21,0)</f>
        <v/>
      </c>
      <c r="O17" s="5">
        <f>-MAX(O16*0.21,0)</f>
        <v/>
      </c>
      <c r="P17" s="5">
        <f>-MAX(P16*0.21,0)</f>
        <v/>
      </c>
    </row>
    <row r="18">
      <c r="A18" s="15" t="inlineStr">
        <is>
          <t>Net Income</t>
        </is>
      </c>
      <c r="B18" s="16">
        <f>B16+B17</f>
        <v/>
      </c>
      <c r="C18" s="16">
        <f>C16+C17</f>
        <v/>
      </c>
      <c r="D18" s="16">
        <f>D16+D17</f>
        <v/>
      </c>
      <c r="E18" s="16">
        <f>E16+E17</f>
        <v/>
      </c>
      <c r="F18" s="16">
        <f>F16+F17</f>
        <v/>
      </c>
      <c r="G18" s="16">
        <f>G16+G17</f>
        <v/>
      </c>
      <c r="H18" s="16">
        <f>H16+H17</f>
        <v/>
      </c>
      <c r="I18" s="16">
        <f>I16+I17</f>
        <v/>
      </c>
      <c r="J18" s="16">
        <f>J16+J17</f>
        <v/>
      </c>
      <c r="K18" s="16">
        <f>K16+K17</f>
        <v/>
      </c>
      <c r="L18" s="16">
        <f>L16+L17</f>
        <v/>
      </c>
      <c r="M18" s="16">
        <f>M16+M17</f>
        <v/>
      </c>
      <c r="N18" s="16">
        <f>N16+N17</f>
        <v/>
      </c>
      <c r="O18" s="16">
        <f>O16+O17</f>
        <v/>
      </c>
      <c r="P18" s="16">
        <f>P16+P17</f>
        <v/>
      </c>
    </row>
    <row r="19">
      <c r="A19" s="10" t="inlineStr">
        <is>
          <t>MARGINS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</row>
    <row r="20">
      <c r="A20" s="4" t="inlineStr">
        <is>
          <t xml:space="preserve">    Gross Margin %</t>
        </is>
      </c>
      <c r="B20" s="17">
        <f>B7/B4</f>
        <v/>
      </c>
      <c r="C20" s="17">
        <f>C7/C4</f>
        <v/>
      </c>
      <c r="D20" s="17">
        <f>D7/D4</f>
        <v/>
      </c>
      <c r="E20" s="17">
        <f>E7/E4</f>
        <v/>
      </c>
      <c r="F20" s="17">
        <f>F7/F4</f>
        <v/>
      </c>
      <c r="G20" s="17">
        <f>G7/G4</f>
        <v/>
      </c>
      <c r="H20" s="17">
        <f>H7/H4</f>
        <v/>
      </c>
      <c r="I20" s="17">
        <f>I7/I4</f>
        <v/>
      </c>
      <c r="J20" s="17">
        <f>J7/J4</f>
        <v/>
      </c>
      <c r="K20" s="17">
        <f>K7/K4</f>
        <v/>
      </c>
      <c r="L20" s="17">
        <f>L7/L4</f>
        <v/>
      </c>
      <c r="M20" s="17">
        <f>M7/M4</f>
        <v/>
      </c>
      <c r="N20" s="17">
        <f>N7/N4</f>
        <v/>
      </c>
      <c r="O20" s="17">
        <f>O7/O4</f>
        <v/>
      </c>
      <c r="P20" s="17">
        <f>P7/P4</f>
        <v/>
      </c>
    </row>
    <row r="21">
      <c r="A21" s="6" t="inlineStr">
        <is>
          <t xml:space="preserve">    EBIT Margin %</t>
        </is>
      </c>
      <c r="B21" s="18">
        <f>B13/B4</f>
        <v/>
      </c>
      <c r="C21" s="18">
        <f>C13/C4</f>
        <v/>
      </c>
      <c r="D21" s="18">
        <f>D13/D4</f>
        <v/>
      </c>
      <c r="E21" s="18">
        <f>E13/E4</f>
        <v/>
      </c>
      <c r="F21" s="18">
        <f>F13/F4</f>
        <v/>
      </c>
      <c r="G21" s="18">
        <f>G13/G4</f>
        <v/>
      </c>
      <c r="H21" s="18">
        <f>H13/H4</f>
        <v/>
      </c>
      <c r="I21" s="18">
        <f>I13/I4</f>
        <v/>
      </c>
      <c r="J21" s="18">
        <f>J13/J4</f>
        <v/>
      </c>
      <c r="K21" s="18">
        <f>K13/K4</f>
        <v/>
      </c>
      <c r="L21" s="18">
        <f>L13/L4</f>
        <v/>
      </c>
      <c r="M21" s="18">
        <f>M13/M4</f>
        <v/>
      </c>
      <c r="N21" s="18">
        <f>N13/N4</f>
        <v/>
      </c>
      <c r="O21" s="18">
        <f>O13/O4</f>
        <v/>
      </c>
      <c r="P21" s="18">
        <f>P13/P4</f>
        <v/>
      </c>
    </row>
    <row r="22">
      <c r="A22" s="4" t="inlineStr">
        <is>
          <t xml:space="preserve">    Net Profit Margin %</t>
        </is>
      </c>
      <c r="B22" s="17">
        <f>B18/B4</f>
        <v/>
      </c>
      <c r="C22" s="17">
        <f>C18/C4</f>
        <v/>
      </c>
      <c r="D22" s="17">
        <f>D18/D4</f>
        <v/>
      </c>
      <c r="E22" s="17">
        <f>E18/E4</f>
        <v/>
      </c>
      <c r="F22" s="17">
        <f>F18/F4</f>
        <v/>
      </c>
      <c r="G22" s="17">
        <f>G18/G4</f>
        <v/>
      </c>
      <c r="H22" s="17">
        <f>H18/H4</f>
        <v/>
      </c>
      <c r="I22" s="17">
        <f>I18/I4</f>
        <v/>
      </c>
      <c r="J22" s="17">
        <f>J18/J4</f>
        <v/>
      </c>
      <c r="K22" s="17">
        <f>K18/K4</f>
        <v/>
      </c>
      <c r="L22" s="17">
        <f>L18/L4</f>
        <v/>
      </c>
      <c r="M22" s="17">
        <f>M18/M4</f>
        <v/>
      </c>
      <c r="N22" s="17">
        <f>N18/N4</f>
        <v/>
      </c>
      <c r="O22" s="17">
        <f>O18/O4</f>
        <v/>
      </c>
      <c r="P22" s="17">
        <f>P18/P4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17A65"/>
    <outlinePr summaryBelow="1" summaryRight="1"/>
    <pageSetUpPr/>
  </sheetPr>
  <dimension ref="A2:P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6" customHeight="1"/>
    <row r="2">
      <c r="A2" s="2" t="inlineStr">
        <is>
          <t>USD (thousands)</t>
        </is>
      </c>
      <c r="B2" s="3" t="n">
        <v>2024</v>
      </c>
      <c r="C2" s="3" t="n">
        <v>2025</v>
      </c>
      <c r="D2" s="3" t="n">
        <v>2026</v>
      </c>
      <c r="E2" s="3" t="n">
        <v>2027</v>
      </c>
      <c r="F2" s="3" t="n">
        <v>2028</v>
      </c>
      <c r="G2" s="3" t="n">
        <v>2029</v>
      </c>
      <c r="H2" s="3" t="n">
        <v>2030</v>
      </c>
      <c r="I2" s="3" t="n">
        <v>2031</v>
      </c>
      <c r="J2" s="3" t="n">
        <v>2032</v>
      </c>
      <c r="K2" s="3" t="n">
        <v>2033</v>
      </c>
      <c r="L2" s="3" t="n">
        <v>2034</v>
      </c>
      <c r="M2" s="3" t="n">
        <v>2035</v>
      </c>
      <c r="N2" s="3" t="n">
        <v>2036</v>
      </c>
      <c r="O2" s="3" t="n">
        <v>2037</v>
      </c>
      <c r="P2" s="3" t="n">
        <v>2038</v>
      </c>
    </row>
    <row r="3">
      <c r="A3" s="10" t="inlineStr">
        <is>
          <t>CURRENT ASSETS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</row>
    <row r="4">
      <c r="A4" s="4" t="inlineStr">
        <is>
          <t xml:space="preserve">    Cash &amp; Equivalents</t>
        </is>
      </c>
      <c r="B4" s="19">
        <f>'Cash Flow'!B22</f>
        <v/>
      </c>
      <c r="C4" s="19">
        <f>'Cash Flow'!C22</f>
        <v/>
      </c>
      <c r="D4" s="19">
        <f>'Cash Flow'!D22</f>
        <v/>
      </c>
      <c r="E4" s="19">
        <f>'Cash Flow'!E22</f>
        <v/>
      </c>
      <c r="F4" s="19">
        <f>'Cash Flow'!F22</f>
        <v/>
      </c>
      <c r="G4" s="19">
        <f>'Cash Flow'!G22</f>
        <v/>
      </c>
      <c r="H4" s="19">
        <f>'Cash Flow'!H22</f>
        <v/>
      </c>
      <c r="I4" s="19">
        <f>'Cash Flow'!I22</f>
        <v/>
      </c>
      <c r="J4" s="19">
        <f>'Cash Flow'!J22</f>
        <v/>
      </c>
      <c r="K4" s="19">
        <f>'Cash Flow'!K22</f>
        <v/>
      </c>
      <c r="L4" s="19">
        <f>'Cash Flow'!L22</f>
        <v/>
      </c>
      <c r="M4" s="19">
        <f>'Cash Flow'!M22</f>
        <v/>
      </c>
      <c r="N4" s="19">
        <f>'Cash Flow'!N22</f>
        <v/>
      </c>
      <c r="O4" s="19">
        <f>'Cash Flow'!O22</f>
        <v/>
      </c>
      <c r="P4" s="19">
        <f>'Cash Flow'!P22</f>
        <v/>
      </c>
    </row>
    <row r="5">
      <c r="A5" s="6" t="inlineStr">
        <is>
          <t xml:space="preserve">    Accounts Receivable</t>
        </is>
      </c>
      <c r="B5" s="20">
        <f>'Income Statement'!B4*0.08</f>
        <v/>
      </c>
      <c r="C5" s="20">
        <f>'Income Statement'!C4*0.08</f>
        <v/>
      </c>
      <c r="D5" s="20">
        <f>'Income Statement'!D4*0.08</f>
        <v/>
      </c>
      <c r="E5" s="20">
        <f>'Income Statement'!E4*0.08</f>
        <v/>
      </c>
      <c r="F5" s="20">
        <f>'Income Statement'!F4*0.08</f>
        <v/>
      </c>
      <c r="G5" s="20">
        <f>'Income Statement'!G4*0.08</f>
        <v/>
      </c>
      <c r="H5" s="20">
        <f>'Income Statement'!H4*0.08</f>
        <v/>
      </c>
      <c r="I5" s="20">
        <f>'Income Statement'!I4*0.08</f>
        <v/>
      </c>
      <c r="J5" s="20">
        <f>'Income Statement'!J4*0.08</f>
        <v/>
      </c>
      <c r="K5" s="20">
        <f>'Income Statement'!K4*0.08</f>
        <v/>
      </c>
      <c r="L5" s="20">
        <f>'Income Statement'!L4*0.08</f>
        <v/>
      </c>
      <c r="M5" s="20">
        <f>'Income Statement'!M4*0.08</f>
        <v/>
      </c>
      <c r="N5" s="20">
        <f>'Income Statement'!N4*0.08</f>
        <v/>
      </c>
      <c r="O5" s="20">
        <f>'Income Statement'!O4*0.08</f>
        <v/>
      </c>
      <c r="P5" s="20">
        <f>'Income Statement'!P4*0.08</f>
        <v/>
      </c>
    </row>
    <row r="6">
      <c r="A6" s="4" t="inlineStr">
        <is>
          <t xml:space="preserve">    Inventory</t>
        </is>
      </c>
      <c r="B6" s="19">
        <f>'Income Statement'!B4*0.06</f>
        <v/>
      </c>
      <c r="C6" s="19">
        <f>'Income Statement'!C4*0.06</f>
        <v/>
      </c>
      <c r="D6" s="19">
        <f>'Income Statement'!D4*0.06</f>
        <v/>
      </c>
      <c r="E6" s="19">
        <f>'Income Statement'!E4*0.06</f>
        <v/>
      </c>
      <c r="F6" s="19">
        <f>'Income Statement'!F4*0.06</f>
        <v/>
      </c>
      <c r="G6" s="19">
        <f>'Income Statement'!G4*0.06</f>
        <v/>
      </c>
      <c r="H6" s="19">
        <f>'Income Statement'!H4*0.06</f>
        <v/>
      </c>
      <c r="I6" s="19">
        <f>'Income Statement'!I4*0.06</f>
        <v/>
      </c>
      <c r="J6" s="19">
        <f>'Income Statement'!J4*0.06</f>
        <v/>
      </c>
      <c r="K6" s="19">
        <f>'Income Statement'!K4*0.06</f>
        <v/>
      </c>
      <c r="L6" s="19">
        <f>'Income Statement'!L4*0.06</f>
        <v/>
      </c>
      <c r="M6" s="19">
        <f>'Income Statement'!M4*0.06</f>
        <v/>
      </c>
      <c r="N6" s="19">
        <f>'Income Statement'!N4*0.06</f>
        <v/>
      </c>
      <c r="O6" s="19">
        <f>'Income Statement'!O4*0.06</f>
        <v/>
      </c>
      <c r="P6" s="19">
        <f>'Income Statement'!P4*0.06</f>
        <v/>
      </c>
    </row>
    <row r="7">
      <c r="A7" s="13" t="inlineStr">
        <is>
          <t>Total Current Assets</t>
        </is>
      </c>
      <c r="B7" s="14">
        <f>SUM(B4:B6)</f>
        <v/>
      </c>
      <c r="C7" s="14">
        <f>SUM(C4:C6)</f>
        <v/>
      </c>
      <c r="D7" s="14">
        <f>SUM(D4:D6)</f>
        <v/>
      </c>
      <c r="E7" s="14">
        <f>SUM(E4:E6)</f>
        <v/>
      </c>
      <c r="F7" s="14">
        <f>SUM(F4:F6)</f>
        <v/>
      </c>
      <c r="G7" s="14">
        <f>SUM(G4:G6)</f>
        <v/>
      </c>
      <c r="H7" s="14">
        <f>SUM(H4:H6)</f>
        <v/>
      </c>
      <c r="I7" s="14">
        <f>SUM(I4:I6)</f>
        <v/>
      </c>
      <c r="J7" s="14">
        <f>SUM(J4:J6)</f>
        <v/>
      </c>
      <c r="K7" s="14">
        <f>SUM(K4:K6)</f>
        <v/>
      </c>
      <c r="L7" s="14">
        <f>SUM(L4:L6)</f>
        <v/>
      </c>
      <c r="M7" s="14">
        <f>SUM(M4:M6)</f>
        <v/>
      </c>
      <c r="N7" s="14">
        <f>SUM(N4:N6)</f>
        <v/>
      </c>
      <c r="O7" s="14">
        <f>SUM(O4:O6)</f>
        <v/>
      </c>
      <c r="P7" s="14">
        <f>SUM(P4:P6)</f>
        <v/>
      </c>
    </row>
    <row r="8">
      <c r="A8" s="10" t="inlineStr">
        <is>
          <t>NON-CURRENT ASSETS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</row>
    <row r="9">
      <c r="A9" s="4" t="inlineStr">
        <is>
          <t xml:space="preserve">    Property, Plant &amp; Equipment (net)</t>
        </is>
      </c>
      <c r="B9" s="21">
        <f>15000+'Cash Flow'!B18-'Income Statement'!B11</f>
        <v/>
      </c>
      <c r="C9" s="19">
        <f>B9+'Cash Flow'!C18-'Income Statement'!C11</f>
        <v/>
      </c>
      <c r="D9" s="19">
        <f>C9+'Cash Flow'!D18-'Income Statement'!D11</f>
        <v/>
      </c>
      <c r="E9" s="19">
        <f>D9+'Cash Flow'!E18-'Income Statement'!E11</f>
        <v/>
      </c>
      <c r="F9" s="19">
        <f>E9+'Cash Flow'!F18-'Income Statement'!F11</f>
        <v/>
      </c>
      <c r="G9" s="19">
        <f>F9+'Cash Flow'!G18-'Income Statement'!G11</f>
        <v/>
      </c>
      <c r="H9" s="19">
        <f>G9+'Cash Flow'!H18-'Income Statement'!H11</f>
        <v/>
      </c>
      <c r="I9" s="19">
        <f>H9+'Cash Flow'!I18-'Income Statement'!I11</f>
        <v/>
      </c>
      <c r="J9" s="19">
        <f>I9+'Cash Flow'!J18-'Income Statement'!J11</f>
        <v/>
      </c>
      <c r="K9" s="19">
        <f>J9+'Cash Flow'!K18-'Income Statement'!K11</f>
        <v/>
      </c>
      <c r="L9" s="19">
        <f>K9+'Cash Flow'!L18-'Income Statement'!L11</f>
        <v/>
      </c>
      <c r="M9" s="19">
        <f>L9+'Cash Flow'!M18-'Income Statement'!M11</f>
        <v/>
      </c>
      <c r="N9" s="19">
        <f>M9+'Cash Flow'!N18-'Income Statement'!N11</f>
        <v/>
      </c>
      <c r="O9" s="19">
        <f>N9+'Cash Flow'!O18-'Income Statement'!O11</f>
        <v/>
      </c>
      <c r="P9" s="19">
        <f>O9+'Cash Flow'!P18-'Income Statement'!P11</f>
        <v/>
      </c>
    </row>
    <row r="10">
      <c r="A10" s="6" t="inlineStr">
        <is>
          <t xml:space="preserve">    Intangibles &amp; Goodwill</t>
        </is>
      </c>
      <c r="B10" s="21" t="n">
        <v>2000</v>
      </c>
      <c r="C10" s="21" t="n">
        <v>2000</v>
      </c>
      <c r="D10" s="21" t="n">
        <v>2000</v>
      </c>
      <c r="E10" s="21" t="n">
        <v>2000</v>
      </c>
      <c r="F10" s="21" t="n">
        <v>2000</v>
      </c>
      <c r="G10" s="21" t="n">
        <v>2000</v>
      </c>
      <c r="H10" s="21" t="n">
        <v>2000</v>
      </c>
      <c r="I10" s="21" t="n">
        <v>2000</v>
      </c>
      <c r="J10" s="21" t="n">
        <v>2000</v>
      </c>
      <c r="K10" s="21" t="n">
        <v>2000</v>
      </c>
      <c r="L10" s="21" t="n">
        <v>2000</v>
      </c>
      <c r="M10" s="21" t="n">
        <v>2000</v>
      </c>
      <c r="N10" s="21" t="n">
        <v>2000</v>
      </c>
      <c r="O10" s="21" t="n">
        <v>2000</v>
      </c>
      <c r="P10" s="21" t="n">
        <v>2000</v>
      </c>
    </row>
    <row r="11">
      <c r="A11" s="13" t="inlineStr">
        <is>
          <t>Total Non-Current Assets</t>
        </is>
      </c>
      <c r="B11" s="14">
        <f>SUM(B9:B10)</f>
        <v/>
      </c>
      <c r="C11" s="14">
        <f>SUM(C9:C10)</f>
        <v/>
      </c>
      <c r="D11" s="14">
        <f>SUM(D9:D10)</f>
        <v/>
      </c>
      <c r="E11" s="14">
        <f>SUM(E9:E10)</f>
        <v/>
      </c>
      <c r="F11" s="14">
        <f>SUM(F9:F10)</f>
        <v/>
      </c>
      <c r="G11" s="14">
        <f>SUM(G9:G10)</f>
        <v/>
      </c>
      <c r="H11" s="14">
        <f>SUM(H9:H10)</f>
        <v/>
      </c>
      <c r="I11" s="14">
        <f>SUM(I9:I10)</f>
        <v/>
      </c>
      <c r="J11" s="14">
        <f>SUM(J9:J10)</f>
        <v/>
      </c>
      <c r="K11" s="14">
        <f>SUM(K9:K10)</f>
        <v/>
      </c>
      <c r="L11" s="14">
        <f>SUM(L9:L10)</f>
        <v/>
      </c>
      <c r="M11" s="14">
        <f>SUM(M9:M10)</f>
        <v/>
      </c>
      <c r="N11" s="14">
        <f>SUM(N9:N10)</f>
        <v/>
      </c>
      <c r="O11" s="14">
        <f>SUM(O9:O10)</f>
        <v/>
      </c>
      <c r="P11" s="14">
        <f>SUM(P9:P10)</f>
        <v/>
      </c>
    </row>
    <row r="12">
      <c r="A12" s="15" t="inlineStr">
        <is>
          <t>TOTAL ASSETS</t>
        </is>
      </c>
      <c r="B12" s="16">
        <f>B7+B11</f>
        <v/>
      </c>
      <c r="C12" s="16">
        <f>C7+C11</f>
        <v/>
      </c>
      <c r="D12" s="16">
        <f>D7+D11</f>
        <v/>
      </c>
      <c r="E12" s="16">
        <f>E7+E11</f>
        <v/>
      </c>
      <c r="F12" s="16">
        <f>F7+F11</f>
        <v/>
      </c>
      <c r="G12" s="16">
        <f>G7+G11</f>
        <v/>
      </c>
      <c r="H12" s="16">
        <f>H7+H11</f>
        <v/>
      </c>
      <c r="I12" s="16">
        <f>I7+I11</f>
        <v/>
      </c>
      <c r="J12" s="16">
        <f>J7+J11</f>
        <v/>
      </c>
      <c r="K12" s="16">
        <f>K7+K11</f>
        <v/>
      </c>
      <c r="L12" s="16">
        <f>L7+L11</f>
        <v/>
      </c>
      <c r="M12" s="16">
        <f>M7+M11</f>
        <v/>
      </c>
      <c r="N12" s="16">
        <f>N7+N11</f>
        <v/>
      </c>
      <c r="O12" s="16">
        <f>O7+O11</f>
        <v/>
      </c>
      <c r="P12" s="16">
        <f>P7+P11</f>
        <v/>
      </c>
    </row>
    <row r="14">
      <c r="A14" s="10" t="inlineStr">
        <is>
          <t>CURRENT LIABILITIES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</row>
    <row r="15">
      <c r="A15" s="4" t="inlineStr">
        <is>
          <t xml:space="preserve">    Accounts Payable</t>
        </is>
      </c>
      <c r="B15" s="19">
        <f>'Income Statement'!B6*(-0.25)</f>
        <v/>
      </c>
      <c r="C15" s="19">
        <f>'Income Statement'!C6*(-0.25)</f>
        <v/>
      </c>
      <c r="D15" s="19">
        <f>'Income Statement'!D6*(-0.25)</f>
        <v/>
      </c>
      <c r="E15" s="19">
        <f>'Income Statement'!E6*(-0.25)</f>
        <v/>
      </c>
      <c r="F15" s="19">
        <f>'Income Statement'!F6*(-0.25)</f>
        <v/>
      </c>
      <c r="G15" s="19">
        <f>'Income Statement'!G6*(-0.25)</f>
        <v/>
      </c>
      <c r="H15" s="19">
        <f>'Income Statement'!H6*(-0.25)</f>
        <v/>
      </c>
      <c r="I15" s="19">
        <f>'Income Statement'!I6*(-0.25)</f>
        <v/>
      </c>
      <c r="J15" s="19">
        <f>'Income Statement'!J6*(-0.25)</f>
        <v/>
      </c>
      <c r="K15" s="19">
        <f>'Income Statement'!K6*(-0.25)</f>
        <v/>
      </c>
      <c r="L15" s="19">
        <f>'Income Statement'!L6*(-0.25)</f>
        <v/>
      </c>
      <c r="M15" s="19">
        <f>'Income Statement'!M6*(-0.25)</f>
        <v/>
      </c>
      <c r="N15" s="19">
        <f>'Income Statement'!N6*(-0.25)</f>
        <v/>
      </c>
      <c r="O15" s="19">
        <f>'Income Statement'!O6*(-0.25)</f>
        <v/>
      </c>
      <c r="P15" s="19">
        <f>'Income Statement'!P6*(-0.25)</f>
        <v/>
      </c>
    </row>
    <row r="16">
      <c r="A16" s="6" t="inlineStr">
        <is>
          <t xml:space="preserve">    Accrued Liabilities</t>
        </is>
      </c>
      <c r="B16" s="20">
        <f>'Income Statement'!B4*0.03</f>
        <v/>
      </c>
      <c r="C16" s="20">
        <f>'Income Statement'!C4*0.03</f>
        <v/>
      </c>
      <c r="D16" s="20">
        <f>'Income Statement'!D4*0.03</f>
        <v/>
      </c>
      <c r="E16" s="20">
        <f>'Income Statement'!E4*0.03</f>
        <v/>
      </c>
      <c r="F16" s="20">
        <f>'Income Statement'!F4*0.03</f>
        <v/>
      </c>
      <c r="G16" s="20">
        <f>'Income Statement'!G4*0.03</f>
        <v/>
      </c>
      <c r="H16" s="20">
        <f>'Income Statement'!H4*0.03</f>
        <v/>
      </c>
      <c r="I16" s="20">
        <f>'Income Statement'!I4*0.03</f>
        <v/>
      </c>
      <c r="J16" s="20">
        <f>'Income Statement'!J4*0.03</f>
        <v/>
      </c>
      <c r="K16" s="20">
        <f>'Income Statement'!K4*0.03</f>
        <v/>
      </c>
      <c r="L16" s="20">
        <f>'Income Statement'!L4*0.03</f>
        <v/>
      </c>
      <c r="M16" s="20">
        <f>'Income Statement'!M4*0.03</f>
        <v/>
      </c>
      <c r="N16" s="20">
        <f>'Income Statement'!N4*0.03</f>
        <v/>
      </c>
      <c r="O16" s="20">
        <f>'Income Statement'!O4*0.03</f>
        <v/>
      </c>
      <c r="P16" s="20">
        <f>'Income Statement'!P4*0.03</f>
        <v/>
      </c>
    </row>
    <row r="17">
      <c r="A17" s="13" t="inlineStr">
        <is>
          <t>Total Current Liabilities</t>
        </is>
      </c>
      <c r="B17" s="14">
        <f>SUM(B15:B16)</f>
        <v/>
      </c>
      <c r="C17" s="14">
        <f>SUM(C15:C16)</f>
        <v/>
      </c>
      <c r="D17" s="14">
        <f>SUM(D15:D16)</f>
        <v/>
      </c>
      <c r="E17" s="14">
        <f>SUM(E15:E16)</f>
        <v/>
      </c>
      <c r="F17" s="14">
        <f>SUM(F15:F16)</f>
        <v/>
      </c>
      <c r="G17" s="14">
        <f>SUM(G15:G16)</f>
        <v/>
      </c>
      <c r="H17" s="14">
        <f>SUM(H15:H16)</f>
        <v/>
      </c>
      <c r="I17" s="14">
        <f>SUM(I15:I16)</f>
        <v/>
      </c>
      <c r="J17" s="14">
        <f>SUM(J15:J16)</f>
        <v/>
      </c>
      <c r="K17" s="14">
        <f>SUM(K15:K16)</f>
        <v/>
      </c>
      <c r="L17" s="14">
        <f>SUM(L15:L16)</f>
        <v/>
      </c>
      <c r="M17" s="14">
        <f>SUM(M15:M16)</f>
        <v/>
      </c>
      <c r="N17" s="14">
        <f>SUM(N15:N16)</f>
        <v/>
      </c>
      <c r="O17" s="14">
        <f>SUM(O15:O16)</f>
        <v/>
      </c>
      <c r="P17" s="14">
        <f>SUM(P15:P16)</f>
        <v/>
      </c>
    </row>
    <row r="18">
      <c r="A18" s="10" t="inlineStr">
        <is>
          <t>NON-CURRENT LIABILITIES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</row>
    <row r="19">
      <c r="A19" s="4" t="inlineStr">
        <is>
          <t xml:space="preserve">    Long-Term Debt</t>
        </is>
      </c>
      <c r="B19" s="21" t="n">
        <v>19000</v>
      </c>
      <c r="C19" s="19">
        <f>MAX(B19-1000,0)</f>
        <v/>
      </c>
      <c r="D19" s="19">
        <f>MAX(C19-1000,0)</f>
        <v/>
      </c>
      <c r="E19" s="19">
        <f>MAX(D19-1000,0)</f>
        <v/>
      </c>
      <c r="F19" s="19">
        <f>MAX(E19-1000,0)</f>
        <v/>
      </c>
      <c r="G19" s="19">
        <f>MAX(F19-1000,0)</f>
        <v/>
      </c>
      <c r="H19" s="19">
        <f>MAX(G19-1000,0)</f>
        <v/>
      </c>
      <c r="I19" s="19">
        <f>MAX(H19-1000,0)</f>
        <v/>
      </c>
      <c r="J19" s="19">
        <f>MAX(I19-1000,0)</f>
        <v/>
      </c>
      <c r="K19" s="19">
        <f>MAX(J19-1000,0)</f>
        <v/>
      </c>
      <c r="L19" s="19">
        <f>MAX(K19-1000,0)</f>
        <v/>
      </c>
      <c r="M19" s="19">
        <f>MAX(L19-1000,0)</f>
        <v/>
      </c>
      <c r="N19" s="19">
        <f>MAX(M19-1000,0)</f>
        <v/>
      </c>
      <c r="O19" s="19">
        <f>MAX(N19-1000,0)</f>
        <v/>
      </c>
      <c r="P19" s="19">
        <f>MAX(O19-1000,0)</f>
        <v/>
      </c>
    </row>
    <row r="20">
      <c r="A20" s="13" t="inlineStr">
        <is>
          <t>Total Non-Current Liabilities</t>
        </is>
      </c>
      <c r="B20" s="14">
        <f>B19</f>
        <v/>
      </c>
      <c r="C20" s="14">
        <f>C19</f>
        <v/>
      </c>
      <c r="D20" s="14">
        <f>D19</f>
        <v/>
      </c>
      <c r="E20" s="14">
        <f>E19</f>
        <v/>
      </c>
      <c r="F20" s="14">
        <f>F19</f>
        <v/>
      </c>
      <c r="G20" s="14">
        <f>G19</f>
        <v/>
      </c>
      <c r="H20" s="14">
        <f>H19</f>
        <v/>
      </c>
      <c r="I20" s="14">
        <f>I19</f>
        <v/>
      </c>
      <c r="J20" s="14">
        <f>J19</f>
        <v/>
      </c>
      <c r="K20" s="14">
        <f>K19</f>
        <v/>
      </c>
      <c r="L20" s="14">
        <f>L19</f>
        <v/>
      </c>
      <c r="M20" s="14">
        <f>M19</f>
        <v/>
      </c>
      <c r="N20" s="14">
        <f>N19</f>
        <v/>
      </c>
      <c r="O20" s="14">
        <f>O19</f>
        <v/>
      </c>
      <c r="P20" s="14">
        <f>P19</f>
        <v/>
      </c>
    </row>
    <row r="21">
      <c r="A21" s="15" t="inlineStr">
        <is>
          <t>TOTAL LIABILITIES</t>
        </is>
      </c>
      <c r="B21" s="16">
        <f>B17+B20</f>
        <v/>
      </c>
      <c r="C21" s="16">
        <f>C17+C20</f>
        <v/>
      </c>
      <c r="D21" s="16">
        <f>D17+D20</f>
        <v/>
      </c>
      <c r="E21" s="16">
        <f>E17+E20</f>
        <v/>
      </c>
      <c r="F21" s="16">
        <f>F17+F20</f>
        <v/>
      </c>
      <c r="G21" s="16">
        <f>G17+G20</f>
        <v/>
      </c>
      <c r="H21" s="16">
        <f>H17+H20</f>
        <v/>
      </c>
      <c r="I21" s="16">
        <f>I17+I20</f>
        <v/>
      </c>
      <c r="J21" s="16">
        <f>J17+J20</f>
        <v/>
      </c>
      <c r="K21" s="16">
        <f>K17+K20</f>
        <v/>
      </c>
      <c r="L21" s="16">
        <f>L17+L20</f>
        <v/>
      </c>
      <c r="M21" s="16">
        <f>M17+M20</f>
        <v/>
      </c>
      <c r="N21" s="16">
        <f>N17+N20</f>
        <v/>
      </c>
      <c r="O21" s="16">
        <f>O17+O20</f>
        <v/>
      </c>
      <c r="P21" s="16">
        <f>P17+P20</f>
        <v/>
      </c>
    </row>
    <row r="23">
      <c r="A23" s="10" t="inlineStr">
        <is>
          <t>SHAREHOLDERS' EQUITY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</row>
    <row r="24">
      <c r="A24" s="4" t="inlineStr">
        <is>
          <t xml:space="preserve">    Paid-In Capital</t>
        </is>
      </c>
      <c r="B24" s="19">
        <f>B12-B21-B25</f>
        <v/>
      </c>
      <c r="C24" s="19">
        <f>C12-C21-C25</f>
        <v/>
      </c>
      <c r="D24" s="19">
        <f>D12-D21-D25</f>
        <v/>
      </c>
      <c r="E24" s="19">
        <f>E12-E21-E25</f>
        <v/>
      </c>
      <c r="F24" s="19">
        <f>F12-F21-F25</f>
        <v/>
      </c>
      <c r="G24" s="19">
        <f>G12-G21-G25</f>
        <v/>
      </c>
      <c r="H24" s="19">
        <f>H12-H21-H25</f>
        <v/>
      </c>
      <c r="I24" s="19">
        <f>I12-I21-I25</f>
        <v/>
      </c>
      <c r="J24" s="19">
        <f>J12-J21-J25</f>
        <v/>
      </c>
      <c r="K24" s="19">
        <f>K12-K21-K25</f>
        <v/>
      </c>
      <c r="L24" s="19">
        <f>L12-L21-L25</f>
        <v/>
      </c>
      <c r="M24" s="19">
        <f>M12-M21-M25</f>
        <v/>
      </c>
      <c r="N24" s="19">
        <f>N12-N21-N25</f>
        <v/>
      </c>
      <c r="O24" s="19">
        <f>O12-O21-O25</f>
        <v/>
      </c>
      <c r="P24" s="19">
        <f>P12-P21-P25</f>
        <v/>
      </c>
    </row>
    <row r="25">
      <c r="A25" s="6" t="inlineStr">
        <is>
          <t xml:space="preserve">    Retained Earnings</t>
        </is>
      </c>
      <c r="B25" s="20">
        <f>'Income Statement'!B18*(1-0.3)</f>
        <v/>
      </c>
      <c r="C25" s="20">
        <f>B25+'Income Statement'!C18*(1-0.3)</f>
        <v/>
      </c>
      <c r="D25" s="20">
        <f>C25+'Income Statement'!D18*(1-0.3)</f>
        <v/>
      </c>
      <c r="E25" s="20">
        <f>D25+'Income Statement'!E18*(1-0.3)</f>
        <v/>
      </c>
      <c r="F25" s="20">
        <f>E25+'Income Statement'!F18*(1-0.3)</f>
        <v/>
      </c>
      <c r="G25" s="20">
        <f>F25+'Income Statement'!G18*(1-0.3)</f>
        <v/>
      </c>
      <c r="H25" s="20">
        <f>G25+'Income Statement'!H18*(1-0.3)</f>
        <v/>
      </c>
      <c r="I25" s="20">
        <f>H25+'Income Statement'!I18*(1-0.3)</f>
        <v/>
      </c>
      <c r="J25" s="20">
        <f>I25+'Income Statement'!J18*(1-0.3)</f>
        <v/>
      </c>
      <c r="K25" s="20">
        <f>J25+'Income Statement'!K18*(1-0.3)</f>
        <v/>
      </c>
      <c r="L25" s="20">
        <f>K25+'Income Statement'!L18*(1-0.3)</f>
        <v/>
      </c>
      <c r="M25" s="20">
        <f>L25+'Income Statement'!M18*(1-0.3)</f>
        <v/>
      </c>
      <c r="N25" s="20">
        <f>M25+'Income Statement'!N18*(1-0.3)</f>
        <v/>
      </c>
      <c r="O25" s="20">
        <f>N25+'Income Statement'!O18*(1-0.3)</f>
        <v/>
      </c>
      <c r="P25" s="20">
        <f>O25+'Income Statement'!P18*(1-0.3)</f>
        <v/>
      </c>
    </row>
    <row r="26">
      <c r="A26" s="15" t="inlineStr">
        <is>
          <t>TOTAL EQUITY</t>
        </is>
      </c>
      <c r="B26" s="16">
        <f>B24+B25</f>
        <v/>
      </c>
      <c r="C26" s="16">
        <f>C24+C25</f>
        <v/>
      </c>
      <c r="D26" s="16">
        <f>D24+D25</f>
        <v/>
      </c>
      <c r="E26" s="16">
        <f>E24+E25</f>
        <v/>
      </c>
      <c r="F26" s="16">
        <f>F24+F25</f>
        <v/>
      </c>
      <c r="G26" s="16">
        <f>G24+G25</f>
        <v/>
      </c>
      <c r="H26" s="16">
        <f>H24+H25</f>
        <v/>
      </c>
      <c r="I26" s="16">
        <f>I24+I25</f>
        <v/>
      </c>
      <c r="J26" s="16">
        <f>J24+J25</f>
        <v/>
      </c>
      <c r="K26" s="16">
        <f>K24+K25</f>
        <v/>
      </c>
      <c r="L26" s="16">
        <f>L24+L25</f>
        <v/>
      </c>
      <c r="M26" s="16">
        <f>M24+M25</f>
        <v/>
      </c>
      <c r="N26" s="16">
        <f>N24+N25</f>
        <v/>
      </c>
      <c r="O26" s="16">
        <f>O24+O25</f>
        <v/>
      </c>
      <c r="P26" s="16">
        <f>P24+P25</f>
        <v/>
      </c>
    </row>
    <row r="28">
      <c r="A28" s="15" t="inlineStr">
        <is>
          <t>TOTAL LIABILITIES &amp; EQUITY</t>
        </is>
      </c>
      <c r="B28" s="16">
        <f>B21+B26</f>
        <v/>
      </c>
      <c r="C28" s="16">
        <f>C21+C26</f>
        <v/>
      </c>
      <c r="D28" s="16">
        <f>D21+D26</f>
        <v/>
      </c>
      <c r="E28" s="16">
        <f>E21+E26</f>
        <v/>
      </c>
      <c r="F28" s="16">
        <f>F21+F26</f>
        <v/>
      </c>
      <c r="G28" s="16">
        <f>G21+G26</f>
        <v/>
      </c>
      <c r="H28" s="16">
        <f>H21+H26</f>
        <v/>
      </c>
      <c r="I28" s="16">
        <f>I21+I26</f>
        <v/>
      </c>
      <c r="J28" s="16">
        <f>J21+J26</f>
        <v/>
      </c>
      <c r="K28" s="16">
        <f>K21+K26</f>
        <v/>
      </c>
      <c r="L28" s="16">
        <f>L21+L26</f>
        <v/>
      </c>
      <c r="M28" s="16">
        <f>M21+M26</f>
        <v/>
      </c>
      <c r="N28" s="16">
        <f>N21+N26</f>
        <v/>
      </c>
      <c r="O28" s="16">
        <f>O21+O26</f>
        <v/>
      </c>
      <c r="P28" s="16">
        <f>P21+P26</f>
        <v/>
      </c>
    </row>
    <row r="29">
      <c r="A29" s="10" t="inlineStr">
        <is>
          <t>BALANCE CHECK (Assets = Liabilities + Equity)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</row>
    <row r="30">
      <c r="B30" s="22">
        <f>IF(ABS(B12-B28)&lt;1,"OK","MISMATCH")</f>
        <v/>
      </c>
      <c r="C30" s="22">
        <f>IF(ABS(C12-C28)&lt;1,"OK","MISMATCH")</f>
        <v/>
      </c>
      <c r="D30" s="22">
        <f>IF(ABS(D12-D28)&lt;1,"OK","MISMATCH")</f>
        <v/>
      </c>
      <c r="E30" s="22">
        <f>IF(ABS(E12-E28)&lt;1,"OK","MISMATCH")</f>
        <v/>
      </c>
      <c r="F30" s="22">
        <f>IF(ABS(F12-F28)&lt;1,"OK","MISMATCH")</f>
        <v/>
      </c>
      <c r="G30" s="22">
        <f>IF(ABS(G12-G28)&lt;1,"OK","MISMATCH")</f>
        <v/>
      </c>
      <c r="H30" s="22">
        <f>IF(ABS(H12-H28)&lt;1,"OK","MISMATCH")</f>
        <v/>
      </c>
      <c r="I30" s="22">
        <f>IF(ABS(I12-I28)&lt;1,"OK","MISMATCH")</f>
        <v/>
      </c>
      <c r="J30" s="22">
        <f>IF(ABS(J12-J28)&lt;1,"OK","MISMATCH")</f>
        <v/>
      </c>
      <c r="K30" s="22">
        <f>IF(ABS(K12-K28)&lt;1,"OK","MISMATCH")</f>
        <v/>
      </c>
      <c r="L30" s="22">
        <f>IF(ABS(L12-L28)&lt;1,"OK","MISMATCH")</f>
        <v/>
      </c>
      <c r="M30" s="22">
        <f>IF(ABS(M12-M28)&lt;1,"OK","MISMATCH")</f>
        <v/>
      </c>
      <c r="N30" s="22">
        <f>IF(ABS(N12-N28)&lt;1,"OK","MISMATCH")</f>
        <v/>
      </c>
      <c r="O30" s="22">
        <f>IF(ABS(O12-O28)&lt;1,"OK","MISMATCH")</f>
        <v/>
      </c>
      <c r="P30" s="22">
        <f>IF(ABS(P12-P28)&lt;1,"OK","MISMATCH")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241C"/>
    <outlinePr summaryBelow="1" summaryRight="1"/>
    <pageSetUpPr/>
  </sheetPr>
  <dimension ref="A2:P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6" customHeight="1"/>
    <row r="2">
      <c r="A2" s="2" t="inlineStr">
        <is>
          <t>USD (thousands)</t>
        </is>
      </c>
      <c r="B2" s="3" t="n">
        <v>2024</v>
      </c>
      <c r="C2" s="3" t="n">
        <v>2025</v>
      </c>
      <c r="D2" s="3" t="n">
        <v>2026</v>
      </c>
      <c r="E2" s="3" t="n">
        <v>2027</v>
      </c>
      <c r="F2" s="3" t="n">
        <v>2028</v>
      </c>
      <c r="G2" s="3" t="n">
        <v>2029</v>
      </c>
      <c r="H2" s="3" t="n">
        <v>2030</v>
      </c>
      <c r="I2" s="3" t="n">
        <v>2031</v>
      </c>
      <c r="J2" s="3" t="n">
        <v>2032</v>
      </c>
      <c r="K2" s="3" t="n">
        <v>2033</v>
      </c>
      <c r="L2" s="3" t="n">
        <v>2034</v>
      </c>
      <c r="M2" s="3" t="n">
        <v>2035</v>
      </c>
      <c r="N2" s="3" t="n">
        <v>2036</v>
      </c>
      <c r="O2" s="3" t="n">
        <v>2037</v>
      </c>
      <c r="P2" s="3" t="n">
        <v>2038</v>
      </c>
    </row>
    <row r="3">
      <c r="A3" s="10" t="inlineStr">
        <is>
          <t>OPERATING ACTIVITIES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</row>
    <row r="4">
      <c r="A4" s="4" t="inlineStr">
        <is>
          <t xml:space="preserve">    Net Income</t>
        </is>
      </c>
      <c r="B4" s="19">
        <f>'Income Statement'!B18</f>
        <v/>
      </c>
      <c r="C4" s="19">
        <f>'Income Statement'!C18</f>
        <v/>
      </c>
      <c r="D4" s="19">
        <f>'Income Statement'!D18</f>
        <v/>
      </c>
      <c r="E4" s="19">
        <f>'Income Statement'!E18</f>
        <v/>
      </c>
      <c r="F4" s="19">
        <f>'Income Statement'!F18</f>
        <v/>
      </c>
      <c r="G4" s="19">
        <f>'Income Statement'!G18</f>
        <v/>
      </c>
      <c r="H4" s="19">
        <f>'Income Statement'!H18</f>
        <v/>
      </c>
      <c r="I4" s="19">
        <f>'Income Statement'!I18</f>
        <v/>
      </c>
      <c r="J4" s="19">
        <f>'Income Statement'!J18</f>
        <v/>
      </c>
      <c r="K4" s="19">
        <f>'Income Statement'!K18</f>
        <v/>
      </c>
      <c r="L4" s="19">
        <f>'Income Statement'!L18</f>
        <v/>
      </c>
      <c r="M4" s="19">
        <f>'Income Statement'!M18</f>
        <v/>
      </c>
      <c r="N4" s="19">
        <f>'Income Statement'!N18</f>
        <v/>
      </c>
      <c r="O4" s="19">
        <f>'Income Statement'!O18</f>
        <v/>
      </c>
      <c r="P4" s="19">
        <f>'Income Statement'!P18</f>
        <v/>
      </c>
    </row>
    <row r="5">
      <c r="A5" s="6" t="inlineStr">
        <is>
          <t xml:space="preserve">    Add: D&amp;A</t>
        </is>
      </c>
      <c r="B5" s="20">
        <f>-'Income Statement'!B11</f>
        <v/>
      </c>
      <c r="C5" s="20">
        <f>-'Income Statement'!C11</f>
        <v/>
      </c>
      <c r="D5" s="20">
        <f>-'Income Statement'!D11</f>
        <v/>
      </c>
      <c r="E5" s="20">
        <f>-'Income Statement'!E11</f>
        <v/>
      </c>
      <c r="F5" s="20">
        <f>-'Income Statement'!F11</f>
        <v/>
      </c>
      <c r="G5" s="20">
        <f>-'Income Statement'!G11</f>
        <v/>
      </c>
      <c r="H5" s="20">
        <f>-'Income Statement'!H11</f>
        <v/>
      </c>
      <c r="I5" s="20">
        <f>-'Income Statement'!I11</f>
        <v/>
      </c>
      <c r="J5" s="20">
        <f>-'Income Statement'!J11</f>
        <v/>
      </c>
      <c r="K5" s="20">
        <f>-'Income Statement'!K11</f>
        <v/>
      </c>
      <c r="L5" s="20">
        <f>-'Income Statement'!L11</f>
        <v/>
      </c>
      <c r="M5" s="20">
        <f>-'Income Statement'!M11</f>
        <v/>
      </c>
      <c r="N5" s="20">
        <f>-'Income Statement'!N11</f>
        <v/>
      </c>
      <c r="O5" s="20">
        <f>-'Income Statement'!O11</f>
        <v/>
      </c>
      <c r="P5" s="20">
        <f>-'Income Statement'!P11</f>
        <v/>
      </c>
    </row>
    <row r="6">
      <c r="A6" s="4" t="inlineStr">
        <is>
          <t xml:space="preserve">    Changes in Working Capital</t>
        </is>
      </c>
    </row>
    <row r="7">
      <c r="A7" s="6" t="inlineStr">
        <is>
          <t xml:space="preserve">        Δ Accounts Receivable</t>
        </is>
      </c>
      <c r="B7" s="20" t="n">
        <v>0</v>
      </c>
      <c r="C7" s="20">
        <f>-('Balance Sheet'!C5-'Balance Sheet'!B5)</f>
        <v/>
      </c>
      <c r="D7" s="20">
        <f>-('Balance Sheet'!D5-'Balance Sheet'!C5)</f>
        <v/>
      </c>
      <c r="E7" s="20">
        <f>-('Balance Sheet'!E5-'Balance Sheet'!D5)</f>
        <v/>
      </c>
      <c r="F7" s="20">
        <f>-('Balance Sheet'!F5-'Balance Sheet'!E5)</f>
        <v/>
      </c>
      <c r="G7" s="20">
        <f>-('Balance Sheet'!G5-'Balance Sheet'!F5)</f>
        <v/>
      </c>
      <c r="H7" s="20">
        <f>-('Balance Sheet'!H5-'Balance Sheet'!G5)</f>
        <v/>
      </c>
      <c r="I7" s="20">
        <f>-('Balance Sheet'!I5-'Balance Sheet'!H5)</f>
        <v/>
      </c>
      <c r="J7" s="20">
        <f>-('Balance Sheet'!J5-'Balance Sheet'!I5)</f>
        <v/>
      </c>
      <c r="K7" s="20">
        <f>-('Balance Sheet'!K5-'Balance Sheet'!J5)</f>
        <v/>
      </c>
      <c r="L7" s="20">
        <f>-('Balance Sheet'!L5-'Balance Sheet'!K5)</f>
        <v/>
      </c>
      <c r="M7" s="20">
        <f>-('Balance Sheet'!M5-'Balance Sheet'!L5)</f>
        <v/>
      </c>
      <c r="N7" s="20">
        <f>-('Balance Sheet'!N5-'Balance Sheet'!M5)</f>
        <v/>
      </c>
      <c r="O7" s="20">
        <f>-('Balance Sheet'!O5-'Balance Sheet'!N5)</f>
        <v/>
      </c>
      <c r="P7" s="20">
        <f>-('Balance Sheet'!P5-'Balance Sheet'!O5)</f>
        <v/>
      </c>
    </row>
    <row r="8">
      <c r="A8" s="4" t="inlineStr">
        <is>
          <t xml:space="preserve">        Δ Inventory</t>
        </is>
      </c>
      <c r="B8" s="19" t="n">
        <v>0</v>
      </c>
      <c r="C8" s="19">
        <f>-('Balance Sheet'!C6-'Balance Sheet'!B6)</f>
        <v/>
      </c>
      <c r="D8" s="19">
        <f>-('Balance Sheet'!D6-'Balance Sheet'!C6)</f>
        <v/>
      </c>
      <c r="E8" s="19">
        <f>-('Balance Sheet'!E6-'Balance Sheet'!D6)</f>
        <v/>
      </c>
      <c r="F8" s="19">
        <f>-('Balance Sheet'!F6-'Balance Sheet'!E6)</f>
        <v/>
      </c>
      <c r="G8" s="19">
        <f>-('Balance Sheet'!G6-'Balance Sheet'!F6)</f>
        <v/>
      </c>
      <c r="H8" s="19">
        <f>-('Balance Sheet'!H6-'Balance Sheet'!G6)</f>
        <v/>
      </c>
      <c r="I8" s="19">
        <f>-('Balance Sheet'!I6-'Balance Sheet'!H6)</f>
        <v/>
      </c>
      <c r="J8" s="19">
        <f>-('Balance Sheet'!J6-'Balance Sheet'!I6)</f>
        <v/>
      </c>
      <c r="K8" s="19">
        <f>-('Balance Sheet'!K6-'Balance Sheet'!J6)</f>
        <v/>
      </c>
      <c r="L8" s="19">
        <f>-('Balance Sheet'!L6-'Balance Sheet'!K6)</f>
        <v/>
      </c>
      <c r="M8" s="19">
        <f>-('Balance Sheet'!M6-'Balance Sheet'!L6)</f>
        <v/>
      </c>
      <c r="N8" s="19">
        <f>-('Balance Sheet'!N6-'Balance Sheet'!M6)</f>
        <v/>
      </c>
      <c r="O8" s="19">
        <f>-('Balance Sheet'!O6-'Balance Sheet'!N6)</f>
        <v/>
      </c>
      <c r="P8" s="19">
        <f>-('Balance Sheet'!P6-'Balance Sheet'!O6)</f>
        <v/>
      </c>
    </row>
    <row r="9">
      <c r="A9" s="6" t="inlineStr">
        <is>
          <t xml:space="preserve">        Δ Accounts Payable</t>
        </is>
      </c>
      <c r="B9" s="20" t="n">
        <v>0</v>
      </c>
      <c r="C9" s="20">
        <f>'Balance Sheet'!C15-'Balance Sheet'!B15</f>
        <v/>
      </c>
      <c r="D9" s="20">
        <f>'Balance Sheet'!D15-'Balance Sheet'!C15</f>
        <v/>
      </c>
      <c r="E9" s="20">
        <f>'Balance Sheet'!E15-'Balance Sheet'!D15</f>
        <v/>
      </c>
      <c r="F9" s="20">
        <f>'Balance Sheet'!F15-'Balance Sheet'!E15</f>
        <v/>
      </c>
      <c r="G9" s="20">
        <f>'Balance Sheet'!G15-'Balance Sheet'!F15</f>
        <v/>
      </c>
      <c r="H9" s="20">
        <f>'Balance Sheet'!H15-'Balance Sheet'!G15</f>
        <v/>
      </c>
      <c r="I9" s="20">
        <f>'Balance Sheet'!I15-'Balance Sheet'!H15</f>
        <v/>
      </c>
      <c r="J9" s="20">
        <f>'Balance Sheet'!J15-'Balance Sheet'!I15</f>
        <v/>
      </c>
      <c r="K9" s="20">
        <f>'Balance Sheet'!K15-'Balance Sheet'!J15</f>
        <v/>
      </c>
      <c r="L9" s="20">
        <f>'Balance Sheet'!L15-'Balance Sheet'!K15</f>
        <v/>
      </c>
      <c r="M9" s="20">
        <f>'Balance Sheet'!M15-'Balance Sheet'!L15</f>
        <v/>
      </c>
      <c r="N9" s="20">
        <f>'Balance Sheet'!N15-'Balance Sheet'!M15</f>
        <v/>
      </c>
      <c r="O9" s="20">
        <f>'Balance Sheet'!O15-'Balance Sheet'!N15</f>
        <v/>
      </c>
      <c r="P9" s="20">
        <f>'Balance Sheet'!P15-'Balance Sheet'!O15</f>
        <v/>
      </c>
    </row>
    <row r="10">
      <c r="A10" s="4" t="inlineStr">
        <is>
          <t xml:space="preserve">        Δ Accrued Liabilities</t>
        </is>
      </c>
      <c r="B10" s="19" t="n">
        <v>0</v>
      </c>
      <c r="C10" s="19">
        <f>'Balance Sheet'!C16-'Balance Sheet'!B16</f>
        <v/>
      </c>
      <c r="D10" s="19">
        <f>'Balance Sheet'!D16-'Balance Sheet'!C16</f>
        <v/>
      </c>
      <c r="E10" s="19">
        <f>'Balance Sheet'!E16-'Balance Sheet'!D16</f>
        <v/>
      </c>
      <c r="F10" s="19">
        <f>'Balance Sheet'!F16-'Balance Sheet'!E16</f>
        <v/>
      </c>
      <c r="G10" s="19">
        <f>'Balance Sheet'!G16-'Balance Sheet'!F16</f>
        <v/>
      </c>
      <c r="H10" s="19">
        <f>'Balance Sheet'!H16-'Balance Sheet'!G16</f>
        <v/>
      </c>
      <c r="I10" s="19">
        <f>'Balance Sheet'!I16-'Balance Sheet'!H16</f>
        <v/>
      </c>
      <c r="J10" s="19">
        <f>'Balance Sheet'!J16-'Balance Sheet'!I16</f>
        <v/>
      </c>
      <c r="K10" s="19">
        <f>'Balance Sheet'!K16-'Balance Sheet'!J16</f>
        <v/>
      </c>
      <c r="L10" s="19">
        <f>'Balance Sheet'!L16-'Balance Sheet'!K16</f>
        <v/>
      </c>
      <c r="M10" s="19">
        <f>'Balance Sheet'!M16-'Balance Sheet'!L16</f>
        <v/>
      </c>
      <c r="N10" s="19">
        <f>'Balance Sheet'!N16-'Balance Sheet'!M16</f>
        <v/>
      </c>
      <c r="O10" s="19">
        <f>'Balance Sheet'!O16-'Balance Sheet'!N16</f>
        <v/>
      </c>
      <c r="P10" s="19">
        <f>'Balance Sheet'!P16-'Balance Sheet'!O16</f>
        <v/>
      </c>
    </row>
    <row r="11">
      <c r="A11" s="13" t="inlineStr">
        <is>
          <t>Total Changes in Working Capital</t>
        </is>
      </c>
      <c r="B11" s="14">
        <f>SUM(B7:B10)</f>
        <v/>
      </c>
      <c r="C11" s="14">
        <f>SUM(C7:C10)</f>
        <v/>
      </c>
      <c r="D11" s="14">
        <f>SUM(D7:D10)</f>
        <v/>
      </c>
      <c r="E11" s="14">
        <f>SUM(E7:E10)</f>
        <v/>
      </c>
      <c r="F11" s="14">
        <f>SUM(F7:F10)</f>
        <v/>
      </c>
      <c r="G11" s="14">
        <f>SUM(G7:G10)</f>
        <v/>
      </c>
      <c r="H11" s="14">
        <f>SUM(H7:H10)</f>
        <v/>
      </c>
      <c r="I11" s="14">
        <f>SUM(I7:I10)</f>
        <v/>
      </c>
      <c r="J11" s="14">
        <f>SUM(J7:J10)</f>
        <v/>
      </c>
      <c r="K11" s="14">
        <f>SUM(K7:K10)</f>
        <v/>
      </c>
      <c r="L11" s="14">
        <f>SUM(L7:L10)</f>
        <v/>
      </c>
      <c r="M11" s="14">
        <f>SUM(M7:M10)</f>
        <v/>
      </c>
      <c r="N11" s="14">
        <f>SUM(N7:N10)</f>
        <v/>
      </c>
      <c r="O11" s="14">
        <f>SUM(O7:O10)</f>
        <v/>
      </c>
      <c r="P11" s="14">
        <f>SUM(P7:P10)</f>
        <v/>
      </c>
    </row>
    <row r="12">
      <c r="A12" s="15" t="inlineStr">
        <is>
          <t>Cash from Operations</t>
        </is>
      </c>
      <c r="B12" s="16">
        <f>SUM(B4:B5)+B11</f>
        <v/>
      </c>
      <c r="C12" s="16">
        <f>SUM(C4:C5)+C11</f>
        <v/>
      </c>
      <c r="D12" s="16">
        <f>SUM(D4:D5)+D11</f>
        <v/>
      </c>
      <c r="E12" s="16">
        <f>SUM(E4:E5)+E11</f>
        <v/>
      </c>
      <c r="F12" s="16">
        <f>SUM(F4:F5)+F11</f>
        <v/>
      </c>
      <c r="G12" s="16">
        <f>SUM(G4:G5)+G11</f>
        <v/>
      </c>
      <c r="H12" s="16">
        <f>SUM(H4:H5)+H11</f>
        <v/>
      </c>
      <c r="I12" s="16">
        <f>SUM(I4:I5)+I11</f>
        <v/>
      </c>
      <c r="J12" s="16">
        <f>SUM(J4:J5)+J11</f>
        <v/>
      </c>
      <c r="K12" s="16">
        <f>SUM(K4:K5)+K11</f>
        <v/>
      </c>
      <c r="L12" s="16">
        <f>SUM(L4:L5)+L11</f>
        <v/>
      </c>
      <c r="M12" s="16">
        <f>SUM(M4:M5)+M11</f>
        <v/>
      </c>
      <c r="N12" s="16">
        <f>SUM(N4:N5)+N11</f>
        <v/>
      </c>
      <c r="O12" s="16">
        <f>SUM(O4:O5)+O11</f>
        <v/>
      </c>
      <c r="P12" s="16">
        <f>SUM(P4:P5)+P11</f>
        <v/>
      </c>
    </row>
    <row r="14">
      <c r="A14" s="10" t="inlineStr">
        <is>
          <t>INVESTING ACTIVITIES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</row>
    <row r="15">
      <c r="A15" s="4" t="inlineStr">
        <is>
          <t xml:space="preserve">    Capital Expenditures (CapEx)</t>
        </is>
      </c>
      <c r="B15" s="19">
        <f>-'Income Statement'!B4*0.07</f>
        <v/>
      </c>
      <c r="C15" s="19">
        <f>-'Income Statement'!C4*0.07</f>
        <v/>
      </c>
      <c r="D15" s="19">
        <f>-'Income Statement'!D4*0.07</f>
        <v/>
      </c>
      <c r="E15" s="19">
        <f>-'Income Statement'!E4*0.07</f>
        <v/>
      </c>
      <c r="F15" s="19">
        <f>-'Income Statement'!F4*0.07</f>
        <v/>
      </c>
      <c r="G15" s="19">
        <f>-'Income Statement'!G4*0.07</f>
        <v/>
      </c>
      <c r="H15" s="19">
        <f>-'Income Statement'!H4*0.07</f>
        <v/>
      </c>
      <c r="I15" s="19">
        <f>-'Income Statement'!I4*0.07</f>
        <v/>
      </c>
      <c r="J15" s="19">
        <f>-'Income Statement'!J4*0.07</f>
        <v/>
      </c>
      <c r="K15" s="19">
        <f>-'Income Statement'!K4*0.07</f>
        <v/>
      </c>
      <c r="L15" s="19">
        <f>-'Income Statement'!L4*0.07</f>
        <v/>
      </c>
      <c r="M15" s="19">
        <f>-'Income Statement'!M4*0.07</f>
        <v/>
      </c>
      <c r="N15" s="19">
        <f>-'Income Statement'!N4*0.07</f>
        <v/>
      </c>
      <c r="O15" s="19">
        <f>-'Income Statement'!O4*0.07</f>
        <v/>
      </c>
      <c r="P15" s="19">
        <f>-'Income Statement'!P4*0.07</f>
        <v/>
      </c>
    </row>
    <row r="16">
      <c r="A16" s="15" t="inlineStr">
        <is>
          <t>Cash from Investing</t>
        </is>
      </c>
      <c r="B16" s="16">
        <f>B15</f>
        <v/>
      </c>
      <c r="C16" s="16">
        <f>C15</f>
        <v/>
      </c>
      <c r="D16" s="16">
        <f>D15</f>
        <v/>
      </c>
      <c r="E16" s="16">
        <f>E15</f>
        <v/>
      </c>
      <c r="F16" s="16">
        <f>F15</f>
        <v/>
      </c>
      <c r="G16" s="16">
        <f>G15</f>
        <v/>
      </c>
      <c r="H16" s="16">
        <f>H15</f>
        <v/>
      </c>
      <c r="I16" s="16">
        <f>I15</f>
        <v/>
      </c>
      <c r="J16" s="16">
        <f>J15</f>
        <v/>
      </c>
      <c r="K16" s="16">
        <f>K15</f>
        <v/>
      </c>
      <c r="L16" s="16">
        <f>L15</f>
        <v/>
      </c>
      <c r="M16" s="16">
        <f>M15</f>
        <v/>
      </c>
      <c r="N16" s="16">
        <f>N15</f>
        <v/>
      </c>
      <c r="O16" s="16">
        <f>O15</f>
        <v/>
      </c>
      <c r="P16" s="16">
        <f>P15</f>
        <v/>
      </c>
    </row>
    <row r="18">
      <c r="A18" s="10" t="inlineStr">
        <is>
          <t>FINANCING ACTIVITIES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</row>
    <row r="19">
      <c r="A19" s="4" t="inlineStr">
        <is>
          <t xml:space="preserve">    Debt Repayment</t>
        </is>
      </c>
      <c r="B19" s="19" t="n">
        <v>-1000</v>
      </c>
      <c r="C19" s="19" t="n">
        <v>-1000</v>
      </c>
      <c r="D19" s="19" t="n">
        <v>-1000</v>
      </c>
      <c r="E19" s="19" t="n">
        <v>-1000</v>
      </c>
      <c r="F19" s="19" t="n">
        <v>-1000</v>
      </c>
      <c r="G19" s="19" t="n">
        <v>-1000</v>
      </c>
      <c r="H19" s="19" t="n">
        <v>-1000</v>
      </c>
      <c r="I19" s="19" t="n">
        <v>-1000</v>
      </c>
      <c r="J19" s="19" t="n">
        <v>-1000</v>
      </c>
      <c r="K19" s="19" t="n">
        <v>-1000</v>
      </c>
      <c r="L19" s="19" t="n">
        <v>-1000</v>
      </c>
      <c r="M19" s="19" t="n">
        <v>-1000</v>
      </c>
      <c r="N19" s="19" t="n">
        <v>-1000</v>
      </c>
      <c r="O19" s="19" t="n">
        <v>-1000</v>
      </c>
      <c r="P19" s="19" t="n">
        <v>-1000</v>
      </c>
    </row>
    <row r="20">
      <c r="A20" s="6" t="inlineStr">
        <is>
          <t xml:space="preserve">    Dividends Paid</t>
        </is>
      </c>
      <c r="B20" s="20">
        <f>-'Income Statement'!B18*0.3</f>
        <v/>
      </c>
      <c r="C20" s="20">
        <f>-'Income Statement'!C18*0.3</f>
        <v/>
      </c>
      <c r="D20" s="20">
        <f>-'Income Statement'!D18*0.3</f>
        <v/>
      </c>
      <c r="E20" s="20">
        <f>-'Income Statement'!E18*0.3</f>
        <v/>
      </c>
      <c r="F20" s="20">
        <f>-'Income Statement'!F18*0.3</f>
        <v/>
      </c>
      <c r="G20" s="20">
        <f>-'Income Statement'!G18*0.3</f>
        <v/>
      </c>
      <c r="H20" s="20">
        <f>-'Income Statement'!H18*0.3</f>
        <v/>
      </c>
      <c r="I20" s="20">
        <f>-'Income Statement'!I18*0.3</f>
        <v/>
      </c>
      <c r="J20" s="20">
        <f>-'Income Statement'!J18*0.3</f>
        <v/>
      </c>
      <c r="K20" s="20">
        <f>-'Income Statement'!K18*0.3</f>
        <v/>
      </c>
      <c r="L20" s="20">
        <f>-'Income Statement'!L18*0.3</f>
        <v/>
      </c>
      <c r="M20" s="20">
        <f>-'Income Statement'!M18*0.3</f>
        <v/>
      </c>
      <c r="N20" s="20">
        <f>-'Income Statement'!N18*0.3</f>
        <v/>
      </c>
      <c r="O20" s="20">
        <f>-'Income Statement'!O18*0.3</f>
        <v/>
      </c>
      <c r="P20" s="20">
        <f>-'Income Statement'!P18*0.3</f>
        <v/>
      </c>
    </row>
    <row r="21">
      <c r="A21" s="15" t="inlineStr">
        <is>
          <t>Cash from Financing</t>
        </is>
      </c>
      <c r="B21" s="16">
        <f>SUM(B19:B20)</f>
        <v/>
      </c>
      <c r="C21" s="16">
        <f>SUM(C19:C20)</f>
        <v/>
      </c>
      <c r="D21" s="16">
        <f>SUM(D19:D20)</f>
        <v/>
      </c>
      <c r="E21" s="16">
        <f>SUM(E19:E20)</f>
        <v/>
      </c>
      <c r="F21" s="16">
        <f>SUM(F19:F20)</f>
        <v/>
      </c>
      <c r="G21" s="16">
        <f>SUM(G19:G20)</f>
        <v/>
      </c>
      <c r="H21" s="16">
        <f>SUM(H19:H20)</f>
        <v/>
      </c>
      <c r="I21" s="16">
        <f>SUM(I19:I20)</f>
        <v/>
      </c>
      <c r="J21" s="16">
        <f>SUM(J19:J20)</f>
        <v/>
      </c>
      <c r="K21" s="16">
        <f>SUM(K19:K20)</f>
        <v/>
      </c>
      <c r="L21" s="16">
        <f>SUM(L19:L20)</f>
        <v/>
      </c>
      <c r="M21" s="16">
        <f>SUM(M19:M20)</f>
        <v/>
      </c>
      <c r="N21" s="16">
        <f>SUM(N19:N20)</f>
        <v/>
      </c>
      <c r="O21" s="16">
        <f>SUM(O19:O20)</f>
        <v/>
      </c>
      <c r="P21" s="16">
        <f>SUM(P19:P20)</f>
        <v/>
      </c>
    </row>
    <row r="22">
      <c r="A22" s="15" t="inlineStr">
        <is>
          <t>Ending Cash Balance</t>
        </is>
      </c>
      <c r="B22" s="16">
        <f>B24+B25</f>
        <v/>
      </c>
      <c r="C22" s="16">
        <f>C24+C25</f>
        <v/>
      </c>
      <c r="D22" s="16">
        <f>D24+D25</f>
        <v/>
      </c>
      <c r="E22" s="16">
        <f>E24+E25</f>
        <v/>
      </c>
      <c r="F22" s="16">
        <f>F24+F25</f>
        <v/>
      </c>
      <c r="G22" s="16">
        <f>G24+G25</f>
        <v/>
      </c>
      <c r="H22" s="16">
        <f>H24+H25</f>
        <v/>
      </c>
      <c r="I22" s="16">
        <f>I24+I25</f>
        <v/>
      </c>
      <c r="J22" s="16">
        <f>J24+J25</f>
        <v/>
      </c>
      <c r="K22" s="16">
        <f>K24+K25</f>
        <v/>
      </c>
      <c r="L22" s="16">
        <f>L24+L25</f>
        <v/>
      </c>
      <c r="M22" s="16">
        <f>M24+M25</f>
        <v/>
      </c>
      <c r="N22" s="16">
        <f>N24+N25</f>
        <v/>
      </c>
      <c r="O22" s="16">
        <f>O24+O25</f>
        <v/>
      </c>
      <c r="P22" s="16">
        <f>P24+P25</f>
        <v/>
      </c>
    </row>
    <row r="23">
      <c r="A23" s="10" t="inlineStr">
        <is>
          <t>NET CASH POSITION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</row>
    <row r="24">
      <c r="A24" s="4" t="inlineStr">
        <is>
          <t xml:space="preserve">    Beginning Cash Balance</t>
        </is>
      </c>
      <c r="B24" s="21" t="n">
        <v>5000</v>
      </c>
      <c r="C24" s="19">
        <f>B22</f>
        <v/>
      </c>
      <c r="D24" s="19">
        <f>C22</f>
        <v/>
      </c>
      <c r="E24" s="19">
        <f>D22</f>
        <v/>
      </c>
      <c r="F24" s="19">
        <f>E22</f>
        <v/>
      </c>
      <c r="G24" s="19">
        <f>F22</f>
        <v/>
      </c>
      <c r="H24" s="19">
        <f>G22</f>
        <v/>
      </c>
      <c r="I24" s="19">
        <f>H22</f>
        <v/>
      </c>
      <c r="J24" s="19">
        <f>I22</f>
        <v/>
      </c>
      <c r="K24" s="19">
        <f>J22</f>
        <v/>
      </c>
      <c r="L24" s="19">
        <f>K22</f>
        <v/>
      </c>
      <c r="M24" s="19">
        <f>L22</f>
        <v/>
      </c>
      <c r="N24" s="19">
        <f>M22</f>
        <v/>
      </c>
      <c r="O24" s="19">
        <f>N22</f>
        <v/>
      </c>
      <c r="P24" s="19">
        <f>O22</f>
        <v/>
      </c>
    </row>
    <row r="25">
      <c r="A25" s="6" t="inlineStr">
        <is>
          <t xml:space="preserve">    Net Change in Cash</t>
        </is>
      </c>
      <c r="B25" s="20">
        <f>B12+B16+B21</f>
        <v/>
      </c>
      <c r="C25" s="20">
        <f>C12+C16+C21</f>
        <v/>
      </c>
      <c r="D25" s="20">
        <f>D12+D16+D21</f>
        <v/>
      </c>
      <c r="E25" s="20">
        <f>E12+E16+E21</f>
        <v/>
      </c>
      <c r="F25" s="20">
        <f>F12+F16+F21</f>
        <v/>
      </c>
      <c r="G25" s="20">
        <f>G12+G16+G21</f>
        <v/>
      </c>
      <c r="H25" s="20">
        <f>H12+H16+H21</f>
        <v/>
      </c>
      <c r="I25" s="20">
        <f>I12+I16+I21</f>
        <v/>
      </c>
      <c r="J25" s="20">
        <f>J12+J16+J21</f>
        <v/>
      </c>
      <c r="K25" s="20">
        <f>K12+K16+K21</f>
        <v/>
      </c>
      <c r="L25" s="20">
        <f>L12+L16+L21</f>
        <v/>
      </c>
      <c r="M25" s="20">
        <f>M12+M16+M21</f>
        <v/>
      </c>
      <c r="N25" s="20">
        <f>N12+N16+N21</f>
        <v/>
      </c>
      <c r="O25" s="20">
        <f>O12+O16+O21</f>
        <v/>
      </c>
      <c r="P25" s="20">
        <f>P12+P16+P21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2026-06-03T21:52:57Z</dcterms:created>
  <dcterms:modified xsi:type="dcterms:W3CDTF">2026-06-03T21:52:57Z</dcterms:modified>
</cp:coreProperties>
</file>